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HLin\Audi\EU_Test\VOBES\VOBES_Migration\source\"/>
    </mc:Choice>
  </mc:AlternateContent>
  <bookViews>
    <workbookView xWindow="0" yWindow="0" windowWidth="19200" windowHeight="6768" tabRatio="579"/>
  </bookViews>
  <sheets>
    <sheet name="Formblatt" sheetId="1" r:id="rId1"/>
    <sheet name="Daten" sheetId="2" state="hidden" r:id="rId2"/>
    <sheet name="Pinchar0" sheetId="3" state="hidden" r:id="rId3"/>
    <sheet name="Pinchar1" sheetId="4" state="hidden" r:id="rId4"/>
    <sheet name="Pinchar2" sheetId="5" state="hidden" r:id="rId5"/>
    <sheet name="Pinchar3" sheetId="6" state="hidden" r:id="rId6"/>
    <sheet name="Pinchar4" sheetId="7" state="hidden" r:id="rId7"/>
    <sheet name="Pinchar5" sheetId="8" state="hidden" r:id="rId8"/>
    <sheet name="Pinchar6" sheetId="9" state="hidden" r:id="rId9"/>
    <sheet name="Pinchar7" sheetId="10" state="hidden" r:id="rId10"/>
    <sheet name="Erläuterung" sheetId="11" r:id="rId11"/>
    <sheet name="Explanation" sheetId="12" r:id="rId12"/>
  </sheets>
  <functionGroups builtInGroupCount="18"/>
  <definedNames>
    <definedName name="BGerLower">Formblatt!#REF!</definedName>
    <definedName name="BGerUpper">Formblatt!#REF!</definedName>
    <definedName name="CLdat">Formblatt!$BB$1</definedName>
    <definedName name="CmtLower">Formblatt!$A$48</definedName>
    <definedName name="CommitPos">Formblatt!$L$32</definedName>
    <definedName name="DataChecked">Formblatt!$AO$37</definedName>
    <definedName name="EndPin">Formblatt!$AV$15</definedName>
    <definedName name="GER">Formblatt!$AB$14</definedName>
    <definedName name="JaNein">Daten!$A$41:$A$42</definedName>
    <definedName name="Löschen">Formblatt!$W$15</definedName>
    <definedName name="nMakro">Formblatt!$DA$34</definedName>
    <definedName name="Oberflaechen">Daten!$A$44:$A$51</definedName>
    <definedName name="Pinchar0">Pinchar0!$A$5</definedName>
    <definedName name="Pinchar1">Pinchar1!$A$5</definedName>
    <definedName name="Pinchar2">Pinchar2!$A$5</definedName>
    <definedName name="Pinchar3">Pinchar3!$A$5:$A$9</definedName>
    <definedName name="Pinchar4">Pinchar4!$A$5</definedName>
    <definedName name="Pinchar5">Pinchar5!$A$5</definedName>
    <definedName name="Pinchar6">Pinchar6!$A$5</definedName>
    <definedName name="Pinchar7">Pinchar7!$A$5</definedName>
    <definedName name="Pins">Formblatt!$B$17:$HV$17</definedName>
    <definedName name="PinsLower">Formblatt!$A$21</definedName>
    <definedName name="PinsUpper">Formblatt!$A$16</definedName>
    <definedName name="Pintypen">Daten!$A$2:$A$9</definedName>
    <definedName name="_xlnm.Print_Area" localSheetId="10">Erläuterung!$A$2:$AT$113</definedName>
    <definedName name="_xlnm.Print_Area" localSheetId="0">Formblatt!$A$1:$ED$49</definedName>
    <definedName name="PrntPdf">Formblatt!$CJ$34</definedName>
    <definedName name="Slots">Formblatt!$B$27:$CS$27</definedName>
    <definedName name="SlotsLower">Formblatt!$A$28</definedName>
    <definedName name="SlotsUpper">Formblatt!$A$26</definedName>
    <definedName name="StartPin">Formblatt!$AV$14</definedName>
    <definedName name="State">Formblatt!$AO$34</definedName>
    <definedName name="SumPins">Formblatt!$AR$14</definedName>
    <definedName name="SumSlots">Formblatt!$X$14</definedName>
    <definedName name="Teilenummer">Formblatt!$J$5</definedName>
    <definedName name="VWS">Formblatt!$BO$7</definedName>
    <definedName name="VWSdef">Formblatt!$BP$9</definedName>
  </definedNames>
  <calcPr calcId="162913"/>
</workbook>
</file>

<file path=xl/calcChain.xml><?xml version="1.0" encoding="utf-8"?>
<calcChain xmlns="http://schemas.openxmlformats.org/spreadsheetml/2006/main">
  <c r="A2" i="2" l="1"/>
  <c r="IV34" i="1"/>
  <c r="IU34" i="1"/>
  <c r="IV33" i="1"/>
  <c r="IU33" i="1"/>
  <c r="IV32" i="1"/>
  <c r="IU32" i="1"/>
  <c r="IV31" i="1"/>
  <c r="IU31" i="1"/>
  <c r="IV30" i="1"/>
  <c r="IU30" i="1"/>
  <c r="IV29" i="1"/>
  <c r="IU29" i="1"/>
  <c r="IV28" i="1"/>
  <c r="IU28" i="1"/>
  <c r="IV26" i="1"/>
  <c r="IU26" i="1"/>
  <c r="IV25" i="1"/>
  <c r="IU25" i="1"/>
  <c r="IV24" i="1"/>
  <c r="IU24" i="1"/>
  <c r="IV23" i="1"/>
  <c r="IU23" i="1"/>
  <c r="IV22" i="1"/>
  <c r="IU22" i="1"/>
  <c r="IV21" i="1"/>
  <c r="IU21" i="1"/>
  <c r="ED20" i="1"/>
  <c r="ED19" i="1"/>
  <c r="ED18" i="1"/>
  <c r="ED17" i="1"/>
  <c r="IV16" i="1"/>
  <c r="IU16" i="1"/>
  <c r="IV15" i="1"/>
  <c r="IU15" i="1"/>
  <c r="IV14" i="1"/>
  <c r="IU14" i="1"/>
  <c r="IV13" i="1"/>
  <c r="IU13" i="1"/>
  <c r="IV12" i="1"/>
  <c r="IU12" i="1"/>
  <c r="IV11" i="1"/>
  <c r="IU11" i="1"/>
  <c r="IV10" i="1"/>
  <c r="IU10" i="1"/>
  <c r="IV9" i="1"/>
  <c r="IU9" i="1"/>
  <c r="IV8" i="1"/>
  <c r="IU8" i="1"/>
  <c r="IV7" i="1"/>
  <c r="IU7" i="1"/>
  <c r="IV6" i="1"/>
  <c r="IU6" i="1"/>
  <c r="IV5" i="1"/>
  <c r="IU5" i="1"/>
  <c r="IV4" i="1"/>
  <c r="IU4" i="1"/>
  <c r="IV3" i="1"/>
  <c r="IU3" i="1"/>
  <c r="IV2" i="1"/>
  <c r="IU2" i="1"/>
  <c r="IU1" i="1"/>
</calcChain>
</file>

<file path=xl/comments1.xml><?xml version="1.0" encoding="utf-8"?>
<comments xmlns="http://schemas.openxmlformats.org/spreadsheetml/2006/main">
  <authors>
    <author>Urban, Guenther EEKK/1</author>
    <author>Günther Urban</author>
    <author>Markus Weseloh</author>
    <author>Urban, G EEKK1</author>
    <author>Urban, Guenther EKEK/1</author>
    <author>Urban, G (EEKK/1)</author>
    <author>Urban Günther EEKK1</author>
    <author>Urban, Guenther (EKEK/1)</author>
    <author>Hua Lin</author>
    <author>Urban, Günther EEKK/1</author>
  </authors>
  <commentList>
    <comment ref="A1" authorId="0" shapeId="0">
      <text>
        <r>
          <rPr>
            <sz val="10"/>
            <rFont val="Arial"/>
          </rPr>
          <t>23.08.2023
UserForm1 auf Klammern in QM/ASIL angepasst
22.08.2023
ASIL und QM Dekompositionen eingebaut:
Information: Die mit ASIL D eingestuften HAF-Funktionen werden auf die zwei (funktional) redundanten Teilbordnetze Klemme 30_1 und Klemme 30_2 aufgeteilt : ASIL D -&gt; ASIL B(D) + ASIL B(D)
Datumvergleich FileDatum - CLInfoDB Datum für MEX gekürzt
Umlaute aus CL_InfoDB werden beim Einlesn umgewandelt ä -&gt; ae
27.04.2023
Auswahl einer Zeile SuchReport füllt entsprechende Index Suche (Funktion/CL_Info), wenn
zuvor Activate NewDef geschaltet ist
WorkflowButton Inhaltliche Prüfung von Eingaben Abgeschlossen nach CheckMe entkoppelt
Änderungen setzen CheckMe aktiv -&gt;Speichern im selben Ordner
Anpassung der Erläuterungen von I2 [I_max_dauer] oder [I_Betrieb_max]
Konfiguration Drucken und Exportversion noMakro eingeführt
Fehlerbehandlung, Leezeichen in Datenpfaden
Pin Namen mit einem X am Ende sind in Ausnahme erlaubt
Add/delete Pin prüft auf PinNamen die existieren
Günther Urban
EKEK/1 Wolfsburg</t>
        </r>
      </text>
    </comment>
    <comment ref="AG1" authorId="1" shapeId="0">
      <text>
        <r>
          <rPr>
            <sz val="10"/>
            <rFont val="Arial"/>
          </rPr>
          <t>Ist Ihnen der Funktionsumfang zu komplex?
Reicht Ihnen der Informationsgehalt manuell erstellter Klemmeninformation aus?
Wollen Sie auf erklärende Texte und Daten von standardisierten PinInformationen verzichten (Deutsch/Englisch) ?
Setzen sie ein [x] für "Funktionsumfang begrenzen"
(Der digitale Zusammenbau einer sicheren Klemme nach ISO 26262/VDA 450 wird jetzt nicht unterstützt.)
Günther Urban
EKEK/1 Wolfsburg</t>
        </r>
      </text>
    </comment>
    <comment ref="AK3" authorId="2" shapeId="0">
      <text>
        <r>
          <rPr>
            <sz val="10"/>
            <rFont val="Arial"/>
          </rPr>
          <t>Wenn ein entsprechend markiertes Feld ausgegegraut ist, dann entfällt der Pflichtfeldstatus. Das Feld muss nicht befüllt werden.</t>
        </r>
      </text>
    </comment>
    <comment ref="A5" authorId="3" shapeId="0">
      <text>
        <r>
          <rPr>
            <sz val="10"/>
            <rFont val="Arial"/>
          </rPr>
          <t xml:space="preserve">Die Teilenummer muss aus TEIVON bestimmt sein. 
</t>
        </r>
      </text>
    </comment>
    <comment ref="A7" authorId="3" shapeId="0">
      <text>
        <r>
          <rPr>
            <sz val="10"/>
            <rFont val="Arial"/>
          </rPr>
          <t xml:space="preserve">Falls die Teilenummer auf einer Tabelle zu finden ist, bitte nennen.
</t>
        </r>
      </text>
    </comment>
    <comment ref="W7" authorId="3" shapeId="0">
      <text>
        <r>
          <rPr>
            <sz val="10"/>
            <rFont val="Arial"/>
          </rPr>
          <t>Welche elektrische Funktion hat diese Komponente, TEIVON/KVS- Benennung</t>
        </r>
      </text>
    </comment>
    <comment ref="BC7" authorId="3" shapeId="0">
      <text>
        <r>
          <rPr>
            <sz val="10"/>
            <rFont val="Arial"/>
          </rPr>
          <t xml:space="preserve">Die Verwendungsstelle ist eine ID für eine Funktions- oder Funktionsgruppen-Komponente in einem Fahrzeug (z.B. "MX1" = Scheinwerfer vorn links oder
        "J519" = Bordnetzsteuergrät).
Diese ID wird im VOBES- Prozess und in den Konzern Stromlaufplänen verwendet. Damit ist ein Abgleich der Inhalte leicht möglich.
</t>
        </r>
      </text>
    </comment>
    <comment ref="BC9" authorId="3" shapeId="0">
      <text>
        <r>
          <rPr>
            <sz val="10"/>
            <rFont val="Arial"/>
          </rPr>
          <t>Geben Sie für eine neue Verwendungsstellen ID bitte hier ein "ja" ein. Im Feld Vorschlag sollten Sie
Ihre gewünschte Benennung für die neue ID angeben.</t>
        </r>
      </text>
    </comment>
    <comment ref="BJ9" authorId="3" shapeId="0">
      <text>
        <r>
          <rPr>
            <sz val="10"/>
            <rFont val="Arial"/>
          </rPr>
          <t>Hier tragen Sie bitte Ihre gewünschte Verwendungs-stelle ein. Ihr Vorschlag wird vom Terminologie-Verantwortlichen geprüft, evtl. abgeändert und in e42 zur Verwendung freigegeben.</t>
        </r>
      </text>
    </comment>
    <comment ref="N11" authorId="4" shapeId="0">
      <text>
        <r>
          <rPr>
            <sz val="10"/>
            <rFont val="Arial"/>
          </rPr>
          <t>Clear Werte von selektierten Pin
oder Clear All Pins</t>
        </r>
      </text>
    </comment>
    <comment ref="AH11" authorId="4" shapeId="0">
      <text>
        <r>
          <rPr>
            <sz val="10"/>
            <rFont val="Arial"/>
          </rPr>
          <t>iCurrent: Copy/Save2Pin/Cancel
Button Farbe zeigt aktuellen Status:
1. Stromwerte Von-Pin sind kopiert ("grün")
      -übernimmt Strom von Pin in Memory
2. Stromwerte am ZielPin ablegt ("gelb")
     - kopiert Stromwerte an Ziel- Pin
3. StromMemory Cancel ("grau")
     - Memory ist geleert, Anfangszustand</t>
        </r>
      </text>
    </comment>
    <comment ref="AU11" authorId="5" shapeId="0">
      <text>
        <r>
          <rPr>
            <sz val="10"/>
            <rFont val="Arial"/>
          </rPr>
          <t>Es können zwei Pins "m und n" ausgewählt werden, die anschließend miteinander vertauscht werden, dazu den Button [&lt; &gt;] drücken.
----------------------------------------------------
Löschen von Pins, den Pinbereich "m und n" definieren und [DelPins] drücken.
Zufügen von einem Pin im Pinbereich "m" auswählen und Pinbereich "n" nicht füllen!
Merke: Eine fehlerhafte Eingabe im Pinbereich sezt n und m zurück.</t>
        </r>
      </text>
    </comment>
    <comment ref="BY13" authorId="3" shapeId="0">
      <text>
        <r>
          <rPr>
            <sz val="10"/>
            <rFont val="Arial"/>
          </rPr>
          <t>Eine Pin zu Pin- Verbindung / "PinLink" wird zur Strompfad-/oder eLogikpfad ermittlung verwendet.</t>
        </r>
      </text>
    </comment>
    <comment ref="K14" authorId="1" shapeId="0">
      <text>
        <r>
          <rPr>
            <sz val="10"/>
            <rFont val="Arial"/>
          </rPr>
          <t>Jede Geräteaufnahme ist ein Steckplatz</t>
        </r>
      </text>
    </comment>
    <comment ref="AG14" authorId="1" shapeId="0">
      <text>
        <r>
          <rPr>
            <sz val="10"/>
            <rFont val="Arial"/>
          </rPr>
          <t>Hier wird die Gesamtpinanzahl aller Steckverbindungen angegeben. Achtung die wirkliche Pinanzahl ist hier gefragt.</t>
        </r>
      </text>
    </comment>
    <comment ref="BZ15" authorId="6" shapeId="0">
      <text>
        <r>
          <rPr>
            <sz val="10"/>
            <rFont val="Arial"/>
          </rPr>
          <t xml:space="preserve">Inenn/ IBetrieb typisch:
  &gt; Typischer, mittlerer Wert im eingeschwungenen Zustand
Imax dauer/ IBetrieb max:
  &gt; Maximaler dauerhaft möglicher Wert
Imax peak/ IInitialisierung:
 &gt; Maximaler kurzzeitiger Wert (Einschalt-/ Abschaltpeak)
IBereitschaft:
 &gt; Kommunikation, ohne Ausübung von Funktionen
IStartStop:
 &gt; durchschnittlicher Wert im Stoppbetrieb bei StartStop- Fahrzeugen
INachlauf:
 &gt; Übergangsphase von Bereitschafts- in Schlafmodus
IRuhe:
 &gt; Ruhestromaufnahme
Imax,eff:
 &gt; Maximal möglicher Effektivstrom, gemittelt über ton,max
Imax (Abschaltschw.):
 &gt; Maximaler Strom innerhalb der üblichen Pulsform
IBlock:
 &gt; Bei Motoren ist nicht der Imax peak, sondern der Default Blockstrom
des Motors einzutragen
tInitialisierung:
 &gt; Zeitspanne für Imax peak/ IInitialisierung
tNachlauf:
 &gt; Zeitspanne für INachlauf
ton,max:
 &gt; Maximale Anschaltdauer
toff,min:
 &gt; minimale Ausschaltdauer
tBlock:
 &gt; Zeitspanne für IBlock
</t>
        </r>
      </text>
    </comment>
    <comment ref="B16" authorId="1" shapeId="0">
      <text>
        <r>
          <rPr>
            <sz val="10"/>
            <rFont val="Arial"/>
          </rPr>
          <t>Die Steckplätze werden alphabetisch, automatisch gezählt.</t>
        </r>
      </text>
    </comment>
    <comment ref="G16" authorId="2" shapeId="0">
      <text>
        <r>
          <rPr>
            <sz val="10"/>
            <rFont val="Arial"/>
          </rPr>
          <t>Die Pinnummern werden numerisch, automatisch pro Steckplatz gezählt.</t>
        </r>
      </text>
    </comment>
    <comment ref="J16" authorId="1" shapeId="0">
      <text>
        <r>
          <rPr>
            <sz val="10"/>
            <rFont val="Arial"/>
          </rPr>
          <t>Hier wird die Kontaktober-
fläche genannt:
ag= Silber
au= Gold
h_sn=Hochverzinnt
sn=Verzinnt
ni=Nickel
zbv=zur besonderen Verwendung</t>
        </r>
      </text>
    </comment>
    <comment ref="O16" authorId="1" shapeId="0">
      <text>
        <r>
          <rPr>
            <sz val="10"/>
            <rFont val="Arial"/>
          </rPr>
          <t xml:space="preserve">Hier werden die Funktions-/Klemmen-bezeichnungen mit dem internen eFormular zugewiesen oder neu erstellt (Genehmigungslauf in e42 erforderlich).
+neu +++
ISO-26262  Differenzierung der versorgenden Klemmen 15, 30 und 31 nach deren Befähigung, sicherheitsrelevante Fahrzeugfunktionen bzw. Fahrfunktionen mit entsprechender ASIL Integrität
Aktive CL_Info (! kein X in Zelle AG1)
Die Klemmeinformation wird (nur) dann abweichend vom Standard aus den CL_Daten zusammengesetzt
(z.B. Klemme: 15_s, 15_q, 30_s, 31,_s, usw)
Klemme 15_s, Utilization 1 und ASIL_C ergibt: 15_s.1_ASIL_C
Ein vorangeführtes * (Sternchen) kennzeichnet eine vorhandene Anbindungsanforderung ans Bordnetz und Lastenheft Referenz
</t>
        </r>
      </text>
    </comment>
    <comment ref="AG16" authorId="1" shapeId="0">
      <text>
        <r>
          <rPr>
            <sz val="10"/>
            <rFont val="Arial"/>
          </rPr>
          <t>Diese Zellen erhalten durch das interne eFormular automatisch eine Prüfsumme zum Schutz ihrer pinbezogenen Daten.</t>
        </r>
      </text>
    </comment>
    <comment ref="AH16" authorId="7" shapeId="0">
      <text>
        <r>
          <rPr>
            <sz val="10"/>
            <rFont val="Arial"/>
          </rPr>
          <t>Bordnetz-Anbindungsanforderung eintragen:
Dieser Pin stellt spezielle Anbindungsanforderungen an das Bordnetz.
Beispiele:
ADAP (automatic driving automatic parking),
HAF (highly automated driving),
CAN_FD_Term (Term = low resistance termination),
UTP (unshielded twisted pair cable),
STP (shielded twisted pair cable),
KOAX-50 (coaxcial cable 50 Ohm),
LayL20mm (Lay Length 20mm; Schlaglaenge 20mm),
RG58 (radio guide no 58),
minQ-2.5qmm (minmal 2,5 mm² cable cross section)
FLHVCB Fahrzeugleitung Hochvolt geschirmt, Geflecht und ALU Folie
##NEU##
Abgesicherte und alleinstehende Klemmen nach DIN 76762
(z.B. Klemme: 15_s, 15_q, 30_s, 31,_s, usw) setzen bei aktiver CL_Info die KLemmeninformation zusammen
Impedanzanforderungen können durch eine Ltg Querschnitt (Qmin) Vorgabe + Lastehheftverweis (ID) vorgegeben werden</t>
        </r>
      </text>
    </comment>
    <comment ref="AO16" authorId="3" shapeId="0">
      <text>
        <r>
          <rPr>
            <sz val="10"/>
            <rFont val="Arial"/>
          </rPr>
          <t xml:space="preserve">für diesen Pin gelten spezielle Lastenhefteinträge, z.Beispiel
BN-LAH-123; BN-LAH-1047, Q-LAH.
</t>
        </r>
      </text>
    </comment>
    <comment ref="AV16" authorId="1" shapeId="0">
      <text>
        <r>
          <rPr>
            <sz val="10"/>
            <rFont val="Arial"/>
          </rPr>
          <t>Bitte auf 'ja' setzen, wenn die Stromwerte gemessen sind und es sich nicht um erste Annahmen handelt  (nicht im Fahrzeugverbund gemessen).</t>
        </r>
      </text>
    </comment>
    <comment ref="AZ16" authorId="6" shapeId="0">
      <text>
        <r>
          <rPr>
            <sz val="10"/>
            <rFont val="Arial"/>
          </rPr>
          <t>Bitte einen Pintyp auswählen, der das Verhalten des Pin´s beschreibt
Bitte beachten: die Signalrichtung (Fnct) und Quelle/Senke müssen gleich sein!
wie zum Beispiel:
Quelle (Steuergerät- Ausgang)= Stromlieferant (OUT)
Senke (Steuergerät- Last)= Lastpin eines SG  (IN)
Senke (Komponente)= Stromabnehmer/ Last (IN)
Signal  = Ein-/ Ausgang (Signalfrequenz in Sekunden)
Schaltkontakt = eines Relais/Schalter´s
Spule(Ansteuerung) = Pins der Erregerspule
nicht verbunden = keine interne Verdrahtung</t>
        </r>
      </text>
    </comment>
    <comment ref="BM16" authorId="6" shapeId="0">
      <text>
        <r>
          <rPr>
            <sz val="10"/>
            <rFont val="Arial"/>
          </rPr>
          <t>Bitte einen strombestimmenden Pincharakter festlegen (gilt nur für Senke Komponente):
 * Ohmsch (Widerstand)
 * Glühlampe (Kaltstrom)
 * Motor (Blockstrom)
 * Spule (Einrückstrom) 
 * Kapazität (Ladestrom)</t>
        </r>
      </text>
    </comment>
    <comment ref="BZ17" authorId="8" shapeId="0">
      <text>
        <r>
          <rPr>
            <sz val="10"/>
            <rFont val="Arial"/>
          </rPr>
          <t>I_nenn / I_Betrieb_typisch</t>
        </r>
      </text>
    </comment>
    <comment ref="CG17" authorId="8" shapeId="0">
      <text>
        <r>
          <rPr>
            <sz val="10"/>
            <rFont val="Arial"/>
          </rPr>
          <t>I_max_dauer / I_Betrieb_max</t>
        </r>
      </text>
    </comment>
    <comment ref="CN17" authorId="8" shapeId="0">
      <text>
        <r>
          <rPr>
            <sz val="10"/>
            <rFont val="Arial"/>
          </rPr>
          <t>I_max_peak / I_Initialisierung</t>
        </r>
      </text>
    </comment>
    <comment ref="CU17" authorId="8" shapeId="0">
      <text>
        <r>
          <rPr>
            <sz val="10"/>
            <rFont val="Arial"/>
          </rPr>
          <t>I_Bereitschaft</t>
        </r>
      </text>
    </comment>
    <comment ref="DB17" authorId="8" shapeId="0">
      <text>
        <r>
          <rPr>
            <sz val="10"/>
            <rFont val="Arial"/>
          </rPr>
          <t>I_Nachlauf</t>
        </r>
      </text>
    </comment>
    <comment ref="DI17" authorId="8" shapeId="0">
      <text>
        <r>
          <rPr>
            <sz val="10"/>
            <rFont val="Arial"/>
          </rPr>
          <t>I_Ruhe</t>
        </r>
      </text>
    </comment>
    <comment ref="DP17" authorId="8" shapeId="0">
      <text>
        <r>
          <rPr>
            <sz val="10"/>
            <rFont val="Arial"/>
          </rPr>
          <t>t_Initialisierung</t>
        </r>
      </text>
    </comment>
    <comment ref="DW17" authorId="8" shapeId="0">
      <text>
        <r>
          <rPr>
            <sz val="10"/>
            <rFont val="Arial"/>
          </rPr>
          <t>t_Nachlauf</t>
        </r>
      </text>
    </comment>
    <comment ref="BZ18" authorId="8" shapeId="0">
      <text>
        <r>
          <rPr>
            <sz val="10"/>
            <rFont val="Arial"/>
          </rPr>
          <t>I_nenn / I_Betrieb_typisch</t>
        </r>
      </text>
    </comment>
    <comment ref="CG18" authorId="8" shapeId="0">
      <text>
        <r>
          <rPr>
            <sz val="10"/>
            <rFont val="Arial"/>
          </rPr>
          <t>I_max_dauer / I_Betrieb_max</t>
        </r>
      </text>
    </comment>
    <comment ref="CN18" authorId="8" shapeId="0">
      <text>
        <r>
          <rPr>
            <sz val="10"/>
            <rFont val="Arial"/>
          </rPr>
          <t>I_max_peak / I_Initialisierung</t>
        </r>
      </text>
    </comment>
    <comment ref="CU18" authorId="8" shapeId="0">
      <text>
        <r>
          <rPr>
            <sz val="10"/>
            <rFont val="Arial"/>
          </rPr>
          <t>I_Bereitschaft</t>
        </r>
      </text>
    </comment>
    <comment ref="DB18" authorId="8" shapeId="0">
      <text>
        <r>
          <rPr>
            <sz val="10"/>
            <rFont val="Arial"/>
          </rPr>
          <t>I_Nachlauf</t>
        </r>
      </text>
    </comment>
    <comment ref="DI18" authorId="8" shapeId="0">
      <text>
        <r>
          <rPr>
            <sz val="10"/>
            <rFont val="Arial"/>
          </rPr>
          <t>I_Ruhe</t>
        </r>
      </text>
    </comment>
    <comment ref="DP18" authorId="8" shapeId="0">
      <text>
        <r>
          <rPr>
            <sz val="10"/>
            <rFont val="Arial"/>
          </rPr>
          <t>t_Initialisierung</t>
        </r>
      </text>
    </comment>
    <comment ref="DW18" authorId="8" shapeId="0">
      <text>
        <r>
          <rPr>
            <sz val="10"/>
            <rFont val="Arial"/>
          </rPr>
          <t>t_Nachlauf</t>
        </r>
      </text>
    </comment>
    <comment ref="BZ19" authorId="8" shapeId="0">
      <text>
        <r>
          <rPr>
            <sz val="10"/>
            <rFont val="Arial"/>
          </rPr>
          <t>I_sig_max</t>
        </r>
      </text>
    </comment>
    <comment ref="CG19" authorId="8" shapeId="0">
      <text>
        <r>
          <rPr>
            <sz val="10"/>
            <rFont val="Arial"/>
          </rPr>
          <t>I_sig_min</t>
        </r>
      </text>
    </comment>
    <comment ref="DP19" authorId="8" shapeId="0">
      <text>
        <r>
          <rPr>
            <sz val="10"/>
            <rFont val="Arial"/>
          </rPr>
          <t>1/Signalfrequenz</t>
        </r>
      </text>
    </comment>
    <comment ref="BZ20" authorId="8" shapeId="0">
      <text>
        <r>
          <rPr>
            <sz val="10"/>
            <rFont val="Arial"/>
          </rPr>
          <t>I_nenn / I_Betrieb_typisch</t>
        </r>
      </text>
    </comment>
    <comment ref="CG20" authorId="8" shapeId="0">
      <text>
        <r>
          <rPr>
            <sz val="10"/>
            <rFont val="Arial"/>
          </rPr>
          <t>I_max_dauer / I_Betrieb_max</t>
        </r>
      </text>
    </comment>
    <comment ref="CN20" authorId="8" shapeId="0">
      <text>
        <r>
          <rPr>
            <sz val="10"/>
            <rFont val="Arial"/>
          </rPr>
          <t>I_max_peak / I_Block</t>
        </r>
      </text>
    </comment>
    <comment ref="CU20" authorId="8" shapeId="0">
      <text>
        <r>
          <rPr>
            <sz val="10"/>
            <rFont val="Arial"/>
          </rPr>
          <t>I_Bereitschaft</t>
        </r>
      </text>
    </comment>
    <comment ref="DB20" authorId="8" shapeId="0">
      <text>
        <r>
          <rPr>
            <sz val="10"/>
            <rFont val="Arial"/>
          </rPr>
          <t>I_Nachlauf</t>
        </r>
      </text>
    </comment>
    <comment ref="DI20" authorId="8" shapeId="0">
      <text>
        <r>
          <rPr>
            <sz val="10"/>
            <rFont val="Arial"/>
          </rPr>
          <t>I_StartStop</t>
        </r>
      </text>
    </comment>
    <comment ref="DP20" authorId="8" shapeId="0">
      <text>
        <r>
          <rPr>
            <sz val="10"/>
            <rFont val="Arial"/>
          </rPr>
          <t>t_Initialisierung / t_Block</t>
        </r>
      </text>
    </comment>
    <comment ref="DW20" authorId="8" shapeId="0">
      <text>
        <r>
          <rPr>
            <sz val="10"/>
            <rFont val="Arial"/>
          </rPr>
          <t>t_Nachlauf</t>
        </r>
      </text>
    </comment>
    <comment ref="V22" authorId="9" shapeId="0">
      <text>
        <r>
          <rPr>
            <sz val="10"/>
            <rFont val="Arial"/>
          </rPr>
          <t>Hinweis nur für AUDI!
Nicht vom Komponentenverantwortlichen ausfüllen.</t>
        </r>
      </text>
    </comment>
    <comment ref="B24" authorId="1" shapeId="0">
      <text>
        <r>
          <rPr>
            <sz val="10"/>
            <rFont val="Arial"/>
          </rPr>
          <t>Steckungen an der Komponente werden der Reihe nach alphabetisch benannt.</t>
        </r>
      </text>
    </comment>
    <comment ref="D24" authorId="1" shapeId="0">
      <text>
        <r>
          <rPr>
            <sz val="10"/>
            <rFont val="Arial"/>
          </rPr>
          <t>Mechanische Kodierung der Geräteaufnahme bzw. des Kableschwanz-gehäuses definieren.</t>
        </r>
      </text>
    </comment>
    <comment ref="Q24" authorId="1" shapeId="0">
      <text>
        <r>
          <rPr>
            <sz val="10"/>
            <rFont val="Arial"/>
          </rPr>
          <t>Hat die Komponente für diesen Steckplatz im Anlieferungszustand einen Kabelschwanz?</t>
        </r>
      </text>
    </comment>
    <comment ref="AC24" authorId="1" shapeId="0">
      <text>
        <r>
          <rPr>
            <sz val="10"/>
            <rFont val="Arial"/>
          </rPr>
          <t>Wenn mehrere Stecker verwendet werden dürfen, bitte nennen.</t>
        </r>
      </text>
    </comment>
    <comment ref="CE24" authorId="1" shapeId="0">
      <text>
        <r>
          <rPr>
            <sz val="10"/>
            <rFont val="Arial"/>
          </rPr>
          <t>Erfolgt die Verwendung im Feuchtraum, ist sie wasserdicht?</t>
        </r>
      </text>
    </comment>
    <comment ref="B32" authorId="9" shapeId="0">
      <text>
        <r>
          <rPr>
            <sz val="10"/>
            <rFont val="Arial"/>
          </rPr>
          <t>Der Schalter hat eine Doppelfunktion: Daten Prüfen und ihre Eingaben abzuschließen.
"CheckMe" prüft den Formblattinhalt und erzeugt eine Kennzeichnung mit  [Checked: User - Datum/Uhrzeit] 
"Eingabe abgeschlossen" erzeugt eine Kennzeichnung mit [Eingabe abgeschlossen:  User - Datum/Uhrzeit], speichert das Formblatt und startet später den Druckdialog: Eine PDF-Datei mit einem PDF-Drucker zu erzeugen.
Die Weitergabe des Formulars erfolgt über den Workflowprozess SYSflow/ VOBESflow (Devstack, Jira) :
Das Formular wird in ein neu angelegtes Ticket hochgeladen.
Email: Im Ausnahmefall wird das Formular per Email an die VOBES Bibliothekare gesendet werden. Anschließend wird der Prozess SYSflow/VOBES Flow bedient.
Schnittstellenprüfung:
Das Formblatt wird von einem VOBES Bibliothekar ausgedruckt und zur Durchsicht und Unterschrift dem entsprechenden Schnittstellenverantwortlichen zur Prüfung und vorgelegt.</t>
        </r>
      </text>
    </comment>
  </commentList>
</comments>
</file>

<file path=xl/comments2.xml><?xml version="1.0" encoding="utf-8"?>
<comments xmlns="http://schemas.openxmlformats.org/spreadsheetml/2006/main">
  <authors>
    <author>Urban, Guenther EKEK/1</author>
  </authors>
  <commentList>
    <comment ref="D25" authorId="0" shapeId="0">
      <text>
        <r>
          <rPr>
            <sz val="10"/>
            <rFont val="Arial"/>
          </rPr>
          <t>Audi/ VW, 2023_02_01:
Änderung der WorstCase Festlegung Temperatur</t>
        </r>
      </text>
    </comment>
    <comment ref="D49" authorId="0" shapeId="0">
      <text>
        <r>
          <rPr>
            <sz val="10"/>
            <rFont val="Arial"/>
          </rPr>
          <t>Audi/VW, 2023_02_01:
Änderung der WorstCase Festlegung Temperatur</t>
        </r>
      </text>
    </comment>
  </commentList>
</comments>
</file>

<file path=xl/sharedStrings.xml><?xml version="1.0" encoding="utf-8"?>
<sst xmlns="http://schemas.openxmlformats.org/spreadsheetml/2006/main" count="892" uniqueCount="497">
  <si>
    <t>Release Info</t>
  </si>
  <si>
    <t xml:space="preserve">Edition23/08/23 </t>
  </si>
  <si>
    <t>VOBES electric42 Import V2.0</t>
  </si>
  <si>
    <t>#CL_InfoDB 12/06/2025 14:29:09###</t>
  </si>
  <si>
    <t>= Pflichtfeld</t>
  </si>
  <si>
    <t>Teilenummer:</t>
  </si>
  <si>
    <t>85E.816.702.J</t>
  </si>
  <si>
    <t>Bitte als Trennzeichen den Unterstrich verwenden</t>
  </si>
  <si>
    <t>TAB-Nummer:</t>
  </si>
  <si>
    <t>Benennung:</t>
  </si>
  <si>
    <t>Sperrventil (elektrisch) ASV-1</t>
  </si>
  <si>
    <t>Verwendungsstellen:</t>
  </si>
  <si>
    <t>PPE</t>
  </si>
  <si>
    <t>Komponente elektrisch baugleich mit:</t>
  </si>
  <si>
    <t>bzw. VOBES-Kurzname:</t>
  </si>
  <si>
    <t>Neu:</t>
  </si>
  <si>
    <t>nein</t>
  </si>
  <si>
    <t>Vorschlag:</t>
  </si>
  <si>
    <t>Pins:</t>
  </si>
  <si>
    <t>Pinning:</t>
  </si>
  <si>
    <t>Anzahl der Steckplätze:</t>
  </si>
  <si>
    <t>n</t>
  </si>
  <si>
    <t>Gesamt-Pin-Anzahl:</t>
  </si>
  <si>
    <t>m</t>
  </si>
  <si>
    <t>Info zu den Stromfestlegungen (siehe auch Erläuterungen)</t>
  </si>
  <si>
    <t>Steckplatz</t>
  </si>
  <si>
    <t>Pin-Nr.</t>
  </si>
  <si>
    <t>Oberfläche</t>
  </si>
  <si>
    <t>Klemmenbeschreibung (wird generiert)</t>
  </si>
  <si>
    <t>Anbindungs
anforderung</t>
  </si>
  <si>
    <t>LAH Refs</t>
  </si>
  <si>
    <t>I mess</t>
  </si>
  <si>
    <t>Pintyp</t>
  </si>
  <si>
    <t>Pincharakteristik</t>
  </si>
  <si>
    <t>I1[A]</t>
  </si>
  <si>
    <t>I2[A]</t>
  </si>
  <si>
    <t>I3[A]</t>
  </si>
  <si>
    <t>I4[A]</t>
  </si>
  <si>
    <t>I5[A]</t>
  </si>
  <si>
    <t>I6[A]</t>
  </si>
  <si>
    <t>t1[s]</t>
  </si>
  <si>
    <t>t2[s]</t>
  </si>
  <si>
    <t>Pin</t>
  </si>
  <si>
    <t>Clamp</t>
  </si>
  <si>
    <t>Lnk</t>
  </si>
  <si>
    <t>Function</t>
  </si>
  <si>
    <t>Utilization</t>
  </si>
  <si>
    <t>Sig.Dir.</t>
  </si>
  <si>
    <t>Volt</t>
  </si>
  <si>
    <t>VoltType</t>
  </si>
  <si>
    <t>SigAbbrev.</t>
  </si>
  <si>
    <t>Sig.Char.</t>
  </si>
  <si>
    <t>Description (Freitext)</t>
  </si>
  <si>
    <t>BGerID</t>
  </si>
  <si>
    <t>A</t>
  </si>
  <si>
    <t>sn</t>
  </si>
  <si>
    <t>15#LIN</t>
  </si>
  <si>
    <t>LAH.1EA.816.P</t>
  </si>
  <si>
    <t>ja</t>
  </si>
  <si>
    <t>Senke (SG Last)</t>
  </si>
  <si>
    <t>Kl30</t>
  </si>
  <si>
    <t>BI</t>
  </si>
  <si>
    <t>12</t>
  </si>
  <si>
    <t>DC</t>
  </si>
  <si>
    <t>S</t>
  </si>
  <si>
    <t>mixed</t>
  </si>
  <si>
    <t>Klemme30</t>
  </si>
  <si>
    <t>tmp_767</t>
  </si>
  <si>
    <t>*Kl30</t>
  </si>
  <si>
    <t>*3#LIN</t>
  </si>
  <si>
    <t>Signal (CAN, Messein/-ausgang)</t>
  </si>
  <si>
    <t>3</t>
  </si>
  <si>
    <t>LIN</t>
  </si>
  <si>
    <t>IN</t>
  </si>
  <si>
    <t>V</t>
  </si>
  <si>
    <t>LIN BUS</t>
  </si>
  <si>
    <t>31#LIN_AC1</t>
  </si>
  <si>
    <t>Senke (Komponente)</t>
  </si>
  <si>
    <t>Motor</t>
  </si>
  <si>
    <t>0.0351</t>
  </si>
  <si>
    <t>31</t>
  </si>
  <si>
    <t>KL31</t>
  </si>
  <si>
    <t>24</t>
  </si>
  <si>
    <t>TEST</t>
  </si>
  <si>
    <t>Klemme 31</t>
  </si>
  <si>
    <t xml:space="preserve"> </t>
  </si>
  <si>
    <t>Geräteaufnahme(n) und Steckgehäuse:</t>
  </si>
  <si>
    <t>* Gilt nur für AUDI: Die Definition der Steckgehäuse zu Geräteaufnahme erledigt I/ER-73</t>
  </si>
  <si>
    <t xml:space="preserve">Steckplatz </t>
  </si>
  <si>
    <t xml:space="preserve">Kodierung </t>
  </si>
  <si>
    <t>Geräteaufnahme bzw. Steckgehäuse am Bauteil</t>
  </si>
  <si>
    <t>am
K-S</t>
  </si>
  <si>
    <t>Bordnetz-steckgehäuse</t>
  </si>
  <si>
    <t>Alternatives-Steckgehäuse</t>
  </si>
  <si>
    <t>Seal</t>
  </si>
  <si>
    <t>WSK.016.686.N</t>
  </si>
  <si>
    <t>Nein</t>
  </si>
  <si>
    <t>4H0.973.704</t>
  </si>
  <si>
    <t>Verantwortlicher</t>
  </si>
  <si>
    <t>Export Konfigruation</t>
  </si>
  <si>
    <t>PrintPDF</t>
  </si>
  <si>
    <t>No</t>
  </si>
  <si>
    <t>ExportVersion (no_Makro)</t>
  </si>
  <si>
    <t>Name</t>
  </si>
  <si>
    <t>Abteilung</t>
  </si>
  <si>
    <t>Telefon</t>
  </si>
  <si>
    <t>Status</t>
  </si>
  <si>
    <t>Aussteller</t>
  </si>
  <si>
    <t>ungeprueft</t>
  </si>
  <si>
    <t>PrüfStatus Inhalt</t>
  </si>
  <si>
    <t>Schnittstellenverantwortlicher (Steckergehäuse)</t>
  </si>
  <si>
    <t>Unterschrift</t>
  </si>
  <si>
    <t>Kommentar</t>
  </si>
  <si>
    <t>Pintypen</t>
  </si>
  <si>
    <t>Pinchar0</t>
  </si>
  <si>
    <t>Pinchar1</t>
  </si>
  <si>
    <t>Quelle (SG Ausgang)</t>
  </si>
  <si>
    <t>Pinchar2</t>
  </si>
  <si>
    <t>Pinchar3</t>
  </si>
  <si>
    <t>Pinchar4</t>
  </si>
  <si>
    <t>Schaltkontakt (Relais/Schalter)</t>
  </si>
  <si>
    <t>Pinchar6</t>
  </si>
  <si>
    <t>Spule (Ansteuerung)</t>
  </si>
  <si>
    <t>Pinchar7</t>
  </si>
  <si>
    <t>Nicht verbunden</t>
  </si>
  <si>
    <t>Pinchar5</t>
  </si>
  <si>
    <t>Auswahl ja/nein</t>
  </si>
  <si>
    <t>Oberflächen</t>
  </si>
  <si>
    <t>ag</t>
  </si>
  <si>
    <t>au</t>
  </si>
  <si>
    <t>h_sn</t>
  </si>
  <si>
    <t>ks</t>
  </si>
  <si>
    <t>ni</t>
  </si>
  <si>
    <t>pa</t>
  </si>
  <si>
    <t>zbv</t>
  </si>
  <si>
    <t>I1</t>
  </si>
  <si>
    <t>I2</t>
  </si>
  <si>
    <t>I3</t>
  </si>
  <si>
    <t>I4</t>
  </si>
  <si>
    <t>I5</t>
  </si>
  <si>
    <t>I6</t>
  </si>
  <si>
    <t>t1</t>
  </si>
  <si>
    <t>t2</t>
  </si>
  <si>
    <t>Anbindungsanforderung</t>
  </si>
  <si>
    <t>Der Hinweis ist nur für Daten, die vor dem 1.10.2010 erfasst wurden: Ein nur in diesem Strom-Feld, aus e42 vorbefüllter Wert, entspricht dem veralteten Wert für "Strom am Pin".</t>
  </si>
  <si>
    <t>ASIL</t>
  </si>
  <si>
    <t>MindestLtgQuerschnitt</t>
  </si>
  <si>
    <t>Schirmung</t>
  </si>
  <si>
    <t>Schlaglänge</t>
  </si>
  <si>
    <t>Pincharakteristiken</t>
  </si>
  <si>
    <t>ADAP</t>
  </si>
  <si>
    <t>Qmin-0.05</t>
  </si>
  <si>
    <t>KOAX-50</t>
  </si>
  <si>
    <t>LayLUnspec</t>
  </si>
  <si>
    <t>HAF</t>
  </si>
  <si>
    <t>Qmin-0.08</t>
  </si>
  <si>
    <t>KOAX-75</t>
  </si>
  <si>
    <t>LayL11mm</t>
  </si>
  <si>
    <t>QM</t>
  </si>
  <si>
    <t>Qmin-0.09</t>
  </si>
  <si>
    <t>KOAX-120</t>
  </si>
  <si>
    <t>LayL15mm</t>
  </si>
  <si>
    <t>QM(A)</t>
  </si>
  <si>
    <t>Qmin-0.1</t>
  </si>
  <si>
    <t>UTP</t>
  </si>
  <si>
    <t>LayL20mm</t>
  </si>
  <si>
    <t>QM(B)</t>
  </si>
  <si>
    <t>Qmin-0.13</t>
  </si>
  <si>
    <t>STP</t>
  </si>
  <si>
    <t>LayL22mm</t>
  </si>
  <si>
    <t>QM(C)</t>
  </si>
  <si>
    <t>Qmin-0.14</t>
  </si>
  <si>
    <t>RG58</t>
  </si>
  <si>
    <t>LayL25mm</t>
  </si>
  <si>
    <t>QM(D)</t>
  </si>
  <si>
    <t>Qmin-0.182</t>
  </si>
  <si>
    <t xml:space="preserve">RG179 </t>
  </si>
  <si>
    <t>LayL30mm</t>
  </si>
  <si>
    <t>ASIL_A</t>
  </si>
  <si>
    <t>Qmin-0.2</t>
  </si>
  <si>
    <t>RTK031</t>
  </si>
  <si>
    <t>LayL35mm</t>
  </si>
  <si>
    <t>ASIL_A(A)</t>
  </si>
  <si>
    <t>Qmin-0.21</t>
  </si>
  <si>
    <t>FLHVCB</t>
  </si>
  <si>
    <t>LayL40mm</t>
  </si>
  <si>
    <t>ASIL_A(B)</t>
  </si>
  <si>
    <t>Qmin-0.22</t>
  </si>
  <si>
    <t>LayL45mm</t>
  </si>
  <si>
    <t>ASIL_A(C)</t>
  </si>
  <si>
    <t>Qmin-0.25</t>
  </si>
  <si>
    <t>LayL48mm</t>
  </si>
  <si>
    <t>ASIL_A(D)</t>
  </si>
  <si>
    <t>Qmin-0.3</t>
  </si>
  <si>
    <t>LayL50mm</t>
  </si>
  <si>
    <t>ASIL_B</t>
  </si>
  <si>
    <t>Qmin-0.33</t>
  </si>
  <si>
    <t>LayL55mm</t>
  </si>
  <si>
    <t>ASIL_B(B)</t>
  </si>
  <si>
    <t>Qmin-0.35</t>
  </si>
  <si>
    <t>LayL60mm</t>
  </si>
  <si>
    <t>ASIL_B(C)</t>
  </si>
  <si>
    <t>Qmin-0.37</t>
  </si>
  <si>
    <t>LayL65mm</t>
  </si>
  <si>
    <t>ASIL_B(D)</t>
  </si>
  <si>
    <t>Qmin-0.38</t>
  </si>
  <si>
    <t>LayL70mm</t>
  </si>
  <si>
    <t>ASIL_C</t>
  </si>
  <si>
    <t>Qmin-0.45</t>
  </si>
  <si>
    <t>LayL75mm</t>
  </si>
  <si>
    <t>ASIL_C(C)</t>
  </si>
  <si>
    <t>Qmin-0.5</t>
  </si>
  <si>
    <t>LayL85mm</t>
  </si>
  <si>
    <t>ASIL_C(D)</t>
  </si>
  <si>
    <t>Qmin-0.51</t>
  </si>
  <si>
    <t>LayL90mm</t>
  </si>
  <si>
    <t>ASIL_D</t>
  </si>
  <si>
    <t>Qmin-0.52</t>
  </si>
  <si>
    <t>LayL95mm</t>
  </si>
  <si>
    <t>ASIL_D(D)</t>
  </si>
  <si>
    <t>Qmin-0.6</t>
  </si>
  <si>
    <t>LayL100mm</t>
  </si>
  <si>
    <t>Qmin-0.75</t>
  </si>
  <si>
    <t>LayL110mm</t>
  </si>
  <si>
    <t>Qmin-0.8</t>
  </si>
  <si>
    <t>LayL120mm</t>
  </si>
  <si>
    <t>Terminierung</t>
  </si>
  <si>
    <t>Qmin-0.82</t>
  </si>
  <si>
    <t>LayL125mm</t>
  </si>
  <si>
    <t>CAN_FD_Term</t>
  </si>
  <si>
    <t>Qmin-1</t>
  </si>
  <si>
    <t>LayL130mm</t>
  </si>
  <si>
    <t>FLEX_Term</t>
  </si>
  <si>
    <t>Qmin-1.1</t>
  </si>
  <si>
    <t>LayL138mm</t>
  </si>
  <si>
    <t>Qmin-1.13</t>
  </si>
  <si>
    <t>LayL140mm</t>
  </si>
  <si>
    <t>Qmin-1.25</t>
  </si>
  <si>
    <t>LayL154mm</t>
  </si>
  <si>
    <t>Qmin-1.31</t>
  </si>
  <si>
    <t>LayL173mm</t>
  </si>
  <si>
    <t>Qmin-1.5</t>
  </si>
  <si>
    <t>Qmin-2</t>
  </si>
  <si>
    <t>Qmin-2.1</t>
  </si>
  <si>
    <t>Qmin-2.2</t>
  </si>
  <si>
    <t>Qmin-2.4</t>
  </si>
  <si>
    <t>Qmin-2.5</t>
  </si>
  <si>
    <t>Qmin-2.6</t>
  </si>
  <si>
    <t>Qmin-2.75</t>
  </si>
  <si>
    <t>Qmin-3</t>
  </si>
  <si>
    <t>Qmin-3.32</t>
  </si>
  <si>
    <t>Qmin-4</t>
  </si>
  <si>
    <t>Qmin-4.1</t>
  </si>
  <si>
    <t>Qmin-5.0</t>
  </si>
  <si>
    <t>Qmin-5.1</t>
  </si>
  <si>
    <t>Qmin-6</t>
  </si>
  <si>
    <t>Qmin-6.1</t>
  </si>
  <si>
    <t>Qmin-6.3</t>
  </si>
  <si>
    <t>Qmin-6.5</t>
  </si>
  <si>
    <t>Qmin-7</t>
  </si>
  <si>
    <t>Qmin-8</t>
  </si>
  <si>
    <t>Qmin-8.5</t>
  </si>
  <si>
    <t>Qmin-9</t>
  </si>
  <si>
    <t>Qmin-10</t>
  </si>
  <si>
    <t>Qmin-12</t>
  </si>
  <si>
    <t>Qmin-12.5</t>
  </si>
  <si>
    <t>Qmin-14</t>
  </si>
  <si>
    <t>Qmin-16</t>
  </si>
  <si>
    <t>Qmin-20</t>
  </si>
  <si>
    <t>Qmin-25</t>
  </si>
  <si>
    <t>Qmin-26</t>
  </si>
  <si>
    <t>Qmin-27</t>
  </si>
  <si>
    <t>Qmin-28</t>
  </si>
  <si>
    <t>Qmin-32</t>
  </si>
  <si>
    <t>Qmin-35</t>
  </si>
  <si>
    <t>Qmin-40</t>
  </si>
  <si>
    <t>Qmin-42</t>
  </si>
  <si>
    <t>Qmin-50</t>
  </si>
  <si>
    <t>Qmin-51</t>
  </si>
  <si>
    <t>Qmin-59</t>
  </si>
  <si>
    <t>Qmin-60</t>
  </si>
  <si>
    <t>Qmin-70</t>
  </si>
  <si>
    <t>Qmin-80</t>
  </si>
  <si>
    <t>Qmin-85</t>
  </si>
  <si>
    <t>Qmin-95</t>
  </si>
  <si>
    <t>Qmin-110</t>
  </si>
  <si>
    <t>Qmin-120</t>
  </si>
  <si>
    <t>Qmin-150</t>
  </si>
  <si>
    <t>Qmin-300</t>
  </si>
  <si>
    <t>I_nenn / I_Betrieb_typisch</t>
  </si>
  <si>
    <t>I_max_dauer / I_Betrieb_max</t>
  </si>
  <si>
    <t>I_max_peak / I_Initialisierung</t>
  </si>
  <si>
    <t>I_Bereitschaft</t>
  </si>
  <si>
    <t>I_Nachlauf</t>
  </si>
  <si>
    <t>I_Ruhe</t>
  </si>
  <si>
    <t>t_Initialisierung</t>
  </si>
  <si>
    <t>t_Nachlauf</t>
  </si>
  <si>
    <t>I_max,eff</t>
  </si>
  <si>
    <t>I_max_(Abschaltschw.)</t>
  </si>
  <si>
    <t>t_on,max</t>
  </si>
  <si>
    <t>t_off,min</t>
  </si>
  <si>
    <t>I_max_peak / I_Block</t>
  </si>
  <si>
    <t>I_StartStop</t>
  </si>
  <si>
    <t>t_Initialisierung / t_Block</t>
  </si>
  <si>
    <t>Glühlampe</t>
  </si>
  <si>
    <t>=IF(BZ&lt;row&gt;="","",BZ&lt;row&gt;*3.5)</t>
  </si>
  <si>
    <t>=0.1</t>
  </si>
  <si>
    <t>Kapazität</t>
  </si>
  <si>
    <t>=IF(BZ&lt;row&gt;="","",BZ&lt;row&gt;*5)</t>
  </si>
  <si>
    <t>=2</t>
  </si>
  <si>
    <t>=IF(BZ&lt;row&gt;="","",BZ&lt;row&gt;*4)</t>
  </si>
  <si>
    <t>=15</t>
  </si>
  <si>
    <t>Ohmsch</t>
  </si>
  <si>
    <t>=IF(BZ&lt;row&gt;="","",BZ&lt;row&gt;)</t>
  </si>
  <si>
    <t>Spule</t>
  </si>
  <si>
    <t>=0.3</t>
  </si>
  <si>
    <t>I_sig_max</t>
  </si>
  <si>
    <t>I_sig_min</t>
  </si>
  <si>
    <t>1/Signalfrequenz</t>
  </si>
  <si>
    <t>=0</t>
  </si>
  <si>
    <t>I_dauer(85°C)</t>
  </si>
  <si>
    <t>I_max_induktiv(2mH)</t>
  </si>
  <si>
    <t>I_max_kapazitiv</t>
  </si>
  <si>
    <t>I_max_Lampe</t>
  </si>
  <si>
    <t>I_Leckstrom Halbleiter</t>
  </si>
  <si>
    <t>I_nenn(RT)</t>
  </si>
  <si>
    <t>I_max(-40°C)</t>
  </si>
  <si>
    <t>Auswahlmöglichkeit:</t>
  </si>
  <si>
    <t>Abb. 1: Erläuterung Pintyp</t>
  </si>
  <si>
    <t>I1 [A]</t>
  </si>
  <si>
    <t>I2 [A]</t>
  </si>
  <si>
    <t>I3 [A]</t>
  </si>
  <si>
    <t>I4 [A]</t>
  </si>
  <si>
    <t>I5 [A]</t>
  </si>
  <si>
    <t>I6 [A]</t>
  </si>
  <si>
    <t>t1 [s]</t>
  </si>
  <si>
    <t>t2 [s]</t>
  </si>
  <si>
    <t>Englischübersetzung: Mit der Eingabe von SPOT in die Adresszeile Ihres Explorers wird die Seite „Single Point of Translation” mit den zugehörigen Themen aufgerufen.</t>
  </si>
  <si>
    <t>Hilfe: Intranet VW- EKEK/1- Bauteilverantwortliche und VOBES  Elektrik-ElektronikglossarV1.0 oder im KVS DOK:VOBES,Bereich=0,Datei=0-19</t>
  </si>
  <si>
    <t>Abb. 2: Bsp. für I_max_dauer, I_max_peak, t_max_peak</t>
  </si>
  <si>
    <t>Senke (SG Last):</t>
  </si>
  <si>
    <t>Einschaltvorgang Kraftstoffpumpe</t>
  </si>
  <si>
    <t>Zelle:</t>
  </si>
  <si>
    <t>Bezeichnung:</t>
  </si>
  <si>
    <t>Definition:</t>
  </si>
  <si>
    <t>I_Nenn oder I_Betrieb_typ</t>
  </si>
  <si>
    <t>Durchschnittliche Ansteuerung (Wert aus BT-LAH 5.19.1.2), Mittelung über t = 5min.</t>
  </si>
  <si>
    <t>Spannung: 14V</t>
  </si>
  <si>
    <t>Temperatur: Raumtemp. (laut VW80000)</t>
  </si>
  <si>
    <t>I_max_dauer oder I_Betrieb_max</t>
  </si>
  <si>
    <t>Maximaler Strom im WorstCase*- Fall (im eingeschwungenen Zustand)</t>
  </si>
  <si>
    <t>Spannung: WorstCase* zw. 9 und 16V auswählen</t>
  </si>
  <si>
    <t>Temperatur: Nur fahrzeugrealistische Kombinationen aus Spannung und</t>
  </si>
  <si>
    <t>Temperatur sind zu verwenden!</t>
  </si>
  <si>
    <t>I_max_peak oder I_Initialisierung</t>
  </si>
  <si>
    <t>Maximaler kurzzeitiger Strom (Einschalt-/ Abschaltpeak)</t>
  </si>
  <si>
    <t>Siehe: Abb. 2</t>
  </si>
  <si>
    <t>Nur einzutragen, falls:</t>
  </si>
  <si>
    <t>- Komponente bei nicht Ausführen von Funktionen Strom reduziert</t>
  </si>
  <si>
    <t>- Komponente selektiven Teilnetzbetrieb umsetzt</t>
  </si>
  <si>
    <t>Nur einzutragen, falls Komponente an Kl30 ist und Nachlaufstrom aufweist</t>
  </si>
  <si>
    <t>In diesem Beispiel ergeben sich:</t>
  </si>
  <si>
    <t>Definition: siehe baureihenspezifisches QLAH 'Abschaltungen Ruhestrommanagement'</t>
  </si>
  <si>
    <t>I_max_dauer = 5 A (WorstCase hier -40°C und 16V)</t>
  </si>
  <si>
    <t>Nur einzutragen, falls Komponente an Kl30 ist und Ruhestrom aufweist</t>
  </si>
  <si>
    <t>I_max_peak = 12,2 A</t>
  </si>
  <si>
    <t>t_max_peak = 0,06 s</t>
  </si>
  <si>
    <t>Zeitspanne für I_max_peak oder I_Initialisierung</t>
  </si>
  <si>
    <t>Abb. 3: Beispiel für I_Block, t_Block</t>
  </si>
  <si>
    <t>Heckwischer festgefroren und blockiert</t>
  </si>
  <si>
    <t>Senke (Komponente):</t>
  </si>
  <si>
    <t>Temperatur: Temperatur: Nur fahrzeugrealistische Kombinationen aus Spannung und</t>
  </si>
  <si>
    <t>I_max_peak</t>
  </si>
  <si>
    <t>oder</t>
  </si>
  <si>
    <t>Siehe: Abb. 2, oder</t>
  </si>
  <si>
    <t>I_Block</t>
  </si>
  <si>
    <t>I_Block eintragen, falls Komponente im Betrieb blockieren kann</t>
  </si>
  <si>
    <t>Siehe: Abb. 3</t>
  </si>
  <si>
    <t>I_Block = 12,5 A (WorstCase hier -40°C und 16V)</t>
  </si>
  <si>
    <t>t_Block = 9 s</t>
  </si>
  <si>
    <t>Nur einzutragen, falls Komponente im MotorStartStop- Betrieb ihre Funktion verändert</t>
  </si>
  <si>
    <t>Spannung: 12,5V</t>
  </si>
  <si>
    <t>Abb. 4: SG-Ausgang 
Skizze für I_max,eff, I_max, t_on,max, t_off,min</t>
  </si>
  <si>
    <t>Zeitspanne für I_max_peak</t>
  </si>
  <si>
    <t>t_Block</t>
  </si>
  <si>
    <t>Zeitspanne für I_Block</t>
  </si>
  <si>
    <t>Quelle (SG Ausgang):</t>
  </si>
  <si>
    <t>Effektive Abschaltschwelle</t>
  </si>
  <si>
    <t>Effektive Abschaltschwelle &lt; Abschaltschwelle, wenn der SG- Ausgang über PWM</t>
  </si>
  <si>
    <t>Beispiel Heckklappenschlossmotor- Ansteuerung:</t>
  </si>
  <si>
    <t>den Spannungspegel auf ein kleineren Spannungspegel runter taktet.</t>
  </si>
  <si>
    <t>I_max,eff = 8,8 A (kein Runtertakten bei hoher Spannung)</t>
  </si>
  <si>
    <t>I_max (Abschaltschwelle)</t>
  </si>
  <si>
    <t>Stromwert der Abschaltschwelle des Steuergerätes</t>
  </si>
  <si>
    <t>I_max = 8,8 A (Kurzschlusserkennung im SG)</t>
  </si>
  <si>
    <t>Maximale Anschaltdauer</t>
  </si>
  <si>
    <t>t_on,max = 0,5 s (max. Ansteuerzeit des Motors)</t>
  </si>
  <si>
    <t>Siehe: Abb. 4</t>
  </si>
  <si>
    <t>t_off,min = 0,5 s (Wiederstart frühestens nach 0,5 s)</t>
  </si>
  <si>
    <t>Minimale Ausschaltdauer</t>
  </si>
  <si>
    <t>Signal (CAN, Messein/-ausgang):</t>
  </si>
  <si>
    <t>maximaler Signalstrom</t>
  </si>
  <si>
    <t>minimaler Signalstrom</t>
  </si>
  <si>
    <t>Amplitudendauer in sec.</t>
  </si>
  <si>
    <t>Motorlast I Aus</t>
  </si>
  <si>
    <t>Motorlast I Ein</t>
  </si>
  <si>
    <t>maximale kapazitive Last</t>
  </si>
  <si>
    <t>maximal mögliche Lampenlast</t>
  </si>
  <si>
    <t>Leckstrom des Halbleiterschaltkontaktes</t>
  </si>
  <si>
    <t>Minimaler Ansprechstrom</t>
  </si>
  <si>
    <t>Maximale Stromaufnahme</t>
  </si>
  <si>
    <t>0,0000</t>
  </si>
  <si>
    <t>keine Eingabe erforderlich</t>
  </si>
  <si>
    <t>selection</t>
  </si>
  <si>
    <t>Chart 1: comment pin type</t>
  </si>
  <si>
    <t>Chart 2: e.g.:I_max_dauer, I_max_peak, t_max_peak</t>
  </si>
  <si>
    <t>Sink</t>
  </si>
  <si>
    <t>activation operation fuel pump</t>
  </si>
  <si>
    <t>Cell:</t>
  </si>
  <si>
    <t>Denotation:</t>
  </si>
  <si>
    <t>average activation (values from BT-LAH 5.19.1.2),Averaging about t=5 minutes</t>
  </si>
  <si>
    <t>Voltage: 14V</t>
  </si>
  <si>
    <t>Temperature: room temperature ( VW80000)</t>
  </si>
  <si>
    <t>Maximum current in the worst-case* case (in steady state)</t>
  </si>
  <si>
    <t>Voltage: WorstCase* select between 9 and 16V</t>
  </si>
  <si>
    <t>Temperature: Only vehicle-realistic combinations of voltage and</t>
  </si>
  <si>
    <t>Temperature are to be used!</t>
  </si>
  <si>
    <t>Maximum short-term voltage(start-up peak/break peak)</t>
  </si>
  <si>
    <t>see Chart: Abb. 2</t>
  </si>
  <si>
    <t>filling in if:</t>
  </si>
  <si>
    <t>-  Component reduces current when no execution</t>
  </si>
  <si>
    <t>-  Component realize selective separate network operation</t>
  </si>
  <si>
    <t>filling in if component is an Kl30 and hold follow current</t>
  </si>
  <si>
    <t>sample:</t>
  </si>
  <si>
    <t>Definition: see series-specific QLAH ‚"Abschaltungen Ruhestrommanagement'‘</t>
  </si>
  <si>
    <t>I_max_dauer = 5 A (WorstCase  -40°C and 16V)</t>
  </si>
  <si>
    <t>Only filling in if component is an Kl30 and hold closed current</t>
  </si>
  <si>
    <t>time interval: I_max_peak</t>
  </si>
  <si>
    <t>Only filling in if component is an Kl30 and hold follow current</t>
  </si>
  <si>
    <t>Chart 3: example for I_Block, t_Block</t>
  </si>
  <si>
    <t>rear windscreen wiper frozen and blocked</t>
  </si>
  <si>
    <t>Sink(component)</t>
  </si>
  <si>
    <t>average activation (values from BT-LAH 5.19.1.2), Averaging about t=5 minutes</t>
  </si>
  <si>
    <t>see Chart: Abb. 2, or</t>
  </si>
  <si>
    <t>Filling in I_Block if component blocks while run</t>
  </si>
  <si>
    <t>see Chart: Abb. 3</t>
  </si>
  <si>
    <t>Filling in if component change his function in MotorStartStop</t>
  </si>
  <si>
    <t>Voltage: 12,5V</t>
  </si>
  <si>
    <t>Chart 4: SG-outlet
Chart:  I_max,eff, I_max, t_on,max, t_off,min</t>
  </si>
  <si>
    <t>time interval:I_Block</t>
  </si>
  <si>
    <t>Source (CU output)</t>
  </si>
  <si>
    <t>effective shut-off</t>
  </si>
  <si>
    <t>effective shut-off&lt; shut-off  if SG-Output greater than PWM</t>
  </si>
  <si>
    <t>sample rear lock engine activation</t>
  </si>
  <si>
    <t>down-regulate of the voltage level</t>
  </si>
  <si>
    <t>I_max,eff = 8,8 A (no clock down while high voltage)</t>
  </si>
  <si>
    <t xml:space="preserve">current value switch-off threshold of  control </t>
  </si>
  <si>
    <t>I_max = 8,8 A (short circuit identifier in SG)</t>
  </si>
  <si>
    <t>maximum switch on time</t>
  </si>
  <si>
    <t>t_on,max = 0,5 s (maximum actuation time of an engine)</t>
  </si>
  <si>
    <t>see Chart: Abb. 4</t>
  </si>
  <si>
    <t>t_off,min = 0,5 s (restart can be applied 0,5 s later)</t>
  </si>
  <si>
    <t>minimum switch off time</t>
  </si>
  <si>
    <t>Inenn/ IBetrieb typisch: typical, mean value in steady state (see Interdisciplinary Performance Specification LAH 5G0.042.A)</t>
  </si>
  <si>
    <t>Signal (CAN, mess.)</t>
  </si>
  <si>
    <t>Imax dauer/ IBetrieb max: maximum continuous possible value (see Interdisciplinary Performance Specification LAH 5G0.042.A)</t>
  </si>
  <si>
    <t>maximum signal current</t>
  </si>
  <si>
    <t>minimum signal current</t>
  </si>
  <si>
    <t>Imax peak/ IInitialisierung: maximum transient value                   (switch on/switch off peak) (see Interdisciplinary Performance Specification LAH 5G0.042.A)</t>
  </si>
  <si>
    <t>time of oscillation in seconds</t>
  </si>
  <si>
    <t>Switch contact(Relay/switch)</t>
  </si>
  <si>
    <t>IBereitschaft: Communication without performing a function (see Interdisciplinary Performance Specification LAH 5G0.042.A)</t>
  </si>
  <si>
    <t>engine load I Off</t>
  </si>
  <si>
    <t>INachlauf: Transition phase from ready mode to sleep mode (see Interdisciplinary Performance Specification LAH 5G0.042.A)</t>
  </si>
  <si>
    <t>engine load I On</t>
  </si>
  <si>
    <t>maximum capacitive load</t>
  </si>
  <si>
    <t>IRest: Closed-circuit current consumption (see Interdisciplinary Performance Specification LAH 5G0.042.A)</t>
  </si>
  <si>
    <t>maximum lamp load</t>
  </si>
  <si>
    <t>leakage flow of electronic semiconductor contact point</t>
  </si>
  <si>
    <t>IStartStop: average value in stop mode for start-stop vehicles (see Interdisciplinary Performance Specification LAH 5G0.042.A)</t>
  </si>
  <si>
    <t>maximum duty cycle</t>
  </si>
  <si>
    <t>minimum interrupting time</t>
  </si>
  <si>
    <t>Imax,eff: maximum possible effective current, averaged over ton,max</t>
  </si>
  <si>
    <t xml:space="preserve"> (see diagram)</t>
  </si>
  <si>
    <t>Coil (diirect activation)</t>
  </si>
  <si>
    <t>Imax (Abschaltschw.): maximum current within the typical pulse shape (see diagram)</t>
  </si>
  <si>
    <t>minimum operating current</t>
  </si>
  <si>
    <t>IBlock: For motors, do not enter the Imax peak, but the default blocking current of the motor</t>
  </si>
  <si>
    <t>maximum power input</t>
  </si>
  <si>
    <t>tInitialisierung: Time span for Imax peak/ IInitialisierung</t>
  </si>
  <si>
    <t>tNachlauf: Time span for  INachlauf</t>
  </si>
  <si>
    <t>ton,max: maximum switch on period (see diagram)</t>
  </si>
  <si>
    <t>toff,min: minimum switch off period (see diagram)</t>
  </si>
  <si>
    <t>offline</t>
  </si>
  <si>
    <t>tBlock: Time span for IBlock</t>
  </si>
  <si>
    <t>Definition</t>
  </si>
  <si>
    <t>input not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</si>
</sst>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0.00"/>
    <numFmt numFmtId="165" formatCode="0.0000"/>
    <numFmt numFmtId="166" formatCode="0.0000000"/>
    <numFmt numFmtId="167" formatCode="0.000000"/>
  </numFmts>
  <fonts count="41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i/>
      <sz val="10"/>
      <color indexed="53"/>
      <name val="Arial"/>
      <family val="2"/>
    </font>
    <font>
      <sz val="10"/>
      <name val="Webdings"/>
      <family val="1"/>
      <charset val="2"/>
    </font>
    <font>
      <sz val="8"/>
      <color indexed="55"/>
      <name val="Arial"/>
      <family val="2"/>
    </font>
    <font>
      <sz val="8"/>
      <name val="Arial"/>
      <family val="2"/>
    </font>
    <font>
      <sz val="9"/>
      <color indexed="55"/>
      <name val="Arial"/>
      <family val="2"/>
    </font>
    <font>
      <u/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name val="Webdings"/>
      <family val="1"/>
      <charset val="2"/>
    </font>
    <font>
      <b/>
      <sz val="11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b/>
      <sz val="12"/>
      <color indexed="53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vertAlign val="subscript"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6"/>
      <name val="Lucida Sans"/>
      <family val="2"/>
    </font>
    <font>
      <b/>
      <sz val="11"/>
      <name val="Calibri"/>
      <family val="2"/>
    </font>
    <font>
      <sz val="11"/>
      <color indexed="23"/>
      <name val="Arial"/>
    </font>
    <font>
      <u/>
      <sz val="8"/>
      <name val="Wingdings"/>
      <charset val="2"/>
    </font>
    <font>
      <sz val="10"/>
      <color rgb="FFFF0000"/>
      <name val="Arial"/>
      <family val="2"/>
    </font>
    <font>
      <sz val="10"/>
      <color theme="0" tint="-0.14999847407452621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6"/>
      <color rgb="FF000000"/>
      <name val="Arial"/>
      <family val="2"/>
    </font>
    <font>
      <u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4"/>
      <color rgb="FF0000FF"/>
      <name val="Arial"/>
      <family val="2"/>
    </font>
    <font>
      <sz val="8"/>
      <color rgb="FF000000"/>
      <name val="Arial"/>
      <family val="2"/>
    </font>
    <font>
      <sz val="8"/>
      <color rgb="FF0000FF"/>
      <name val="Arial"/>
      <family val="2"/>
    </font>
    <font>
      <b/>
      <i/>
      <sz val="9"/>
      <color rgb="FF000000"/>
      <name val="Arial"/>
      <family val="2"/>
    </font>
    <font>
      <sz val="14"/>
      <color rgb="FFFF0000"/>
      <name val="Arial"/>
      <family val="2"/>
    </font>
    <font>
      <i/>
      <sz val="9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D8D8D8"/>
        <bgColor indexed="64"/>
      </patternFill>
    </fill>
  </fills>
  <borders count="7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tted">
        <color indexed="12"/>
      </top>
      <bottom/>
      <diagonal/>
    </border>
    <border>
      <left/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 style="dotted">
        <color indexed="12"/>
      </left>
      <right/>
      <top style="dotted">
        <color indexed="12"/>
      </top>
      <bottom style="dotted">
        <color indexed="12"/>
      </bottom>
      <diagonal/>
    </border>
    <border>
      <left/>
      <right/>
      <top style="dotted">
        <color indexed="12"/>
      </top>
      <bottom style="dotted">
        <color indexed="12"/>
      </bottom>
      <diagonal/>
    </border>
    <border>
      <left/>
      <right style="dotted">
        <color indexed="12"/>
      </right>
      <top style="dotted">
        <color indexed="12"/>
      </top>
      <bottom style="dotted">
        <color indexed="12"/>
      </bottom>
      <diagonal/>
    </border>
    <border>
      <left style="thin">
        <color indexed="12"/>
      </left>
      <right style="slantDashDot">
        <color indexed="10"/>
      </right>
      <top style="thin">
        <color indexed="12"/>
      </top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 style="thin">
        <color indexed="12"/>
      </left>
      <right style="thin">
        <color indexed="64"/>
      </right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dotted">
        <color indexed="12"/>
      </left>
      <right style="thin">
        <color indexed="64"/>
      </right>
      <top style="dotted">
        <color indexed="12"/>
      </top>
      <bottom style="dotted">
        <color indexed="12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2"/>
      </left>
      <right style="slantDashDot">
        <color indexed="40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12"/>
      </left>
      <right style="thin">
        <color rgb="FF0000FF"/>
      </right>
      <top style="mediumDashed">
        <color indexed="12"/>
      </top>
      <bottom style="mediumDashed">
        <color indexed="12"/>
      </bottom>
      <diagonal/>
    </border>
    <border>
      <left/>
      <right/>
      <top style="thin">
        <color rgb="FF0000CC"/>
      </top>
      <bottom style="thin">
        <color rgb="FF0000CC"/>
      </bottom>
      <diagonal/>
    </border>
    <border>
      <left/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0000CC"/>
      </left>
      <right style="thin">
        <color rgb="FF0000CC"/>
      </right>
      <top style="thin">
        <color rgb="FF0000CC"/>
      </top>
      <bottom style="thin">
        <color rgb="FF0000CC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thin">
        <color rgb="FF0000CC"/>
      </bottom>
      <diagonal/>
    </border>
    <border>
      <left/>
      <right/>
      <top/>
      <bottom style="thin">
        <color rgb="FF0066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 style="thin">
        <color indexed="64"/>
      </right>
      <top/>
      <bottom style="thin">
        <color rgb="FF0000CC"/>
      </bottom>
      <diagonal/>
    </border>
    <border>
      <left/>
      <right/>
      <top/>
      <bottom style="thin">
        <color rgb="FF0000FF"/>
      </bottom>
      <diagonal/>
    </border>
    <border>
      <left style="dotted">
        <color indexed="12"/>
      </left>
      <right style="dotted">
        <color indexed="12"/>
      </right>
      <top style="dotted">
        <color indexed="12"/>
      </top>
      <bottom style="dotted">
        <color indexed="12"/>
      </bottom>
      <diagonal/>
    </border>
    <border>
      <left/>
      <right style="slantDashDot">
        <color indexed="10"/>
      </right>
      <top style="thin">
        <color indexed="12"/>
      </top>
      <bottom style="thin">
        <color indexed="1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 style="thin">
        <color indexed="64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12"/>
      </top>
      <bottom style="dotted">
        <color indexed="1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slantDashDot">
        <color indexed="40"/>
      </right>
      <top style="thin">
        <color indexed="12"/>
      </top>
      <bottom style="thin">
        <color indexed="12"/>
      </bottom>
      <diagonal/>
    </border>
  </borders>
  <cellStyleXfs count="2">
    <xf numFmtId="0" fontId="0" fillId="0" borderId="0"/>
    <xf numFmtId="0" fontId="21" fillId="0" borderId="0"/>
  </cellStyleXfs>
  <cellXfs count="31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/>
    <xf numFmtId="0" fontId="0" fillId="0" borderId="2" xfId="0" applyBorder="1"/>
    <xf numFmtId="0" fontId="8" fillId="0" borderId="0" xfId="0" applyFont="1" applyAlignment="1">
      <alignment textRotation="90"/>
    </xf>
    <xf numFmtId="0" fontId="10" fillId="0" borderId="0" xfId="0" applyFont="1"/>
    <xf numFmtId="0" fontId="6" fillId="0" borderId="0" xfId="0" applyFont="1" applyAlignment="1">
      <alignment textRotation="90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5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17" fillId="0" borderId="0" xfId="0" applyFont="1"/>
    <xf numFmtId="0" fontId="18" fillId="0" borderId="0" xfId="0" applyFont="1" applyAlignment="1">
      <alignment horizontal="left"/>
    </xf>
    <xf numFmtId="0" fontId="1" fillId="2" borderId="0" xfId="0" applyFont="1" applyFill="1"/>
    <xf numFmtId="0" fontId="19" fillId="2" borderId="0" xfId="0" applyFont="1" applyFill="1"/>
    <xf numFmtId="0" fontId="1" fillId="4" borderId="0" xfId="0" applyFont="1" applyFill="1"/>
    <xf numFmtId="0" fontId="16" fillId="4" borderId="3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8" xfId="0" quotePrefix="1" applyFill="1" applyBorder="1"/>
    <xf numFmtId="0" fontId="0" fillId="4" borderId="0" xfId="0" quotePrefix="1" applyFill="1"/>
    <xf numFmtId="0" fontId="1" fillId="5" borderId="0" xfId="0" applyFont="1" applyFill="1"/>
    <xf numFmtId="0" fontId="16" fillId="5" borderId="3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16" fillId="5" borderId="9" xfId="0" applyFont="1" applyFill="1" applyBorder="1"/>
    <xf numFmtId="0" fontId="0" fillId="5" borderId="0" xfId="0" quotePrefix="1" applyFill="1"/>
    <xf numFmtId="0" fontId="0" fillId="5" borderId="13" xfId="0" quotePrefix="1" applyFill="1" applyBorder="1"/>
    <xf numFmtId="0" fontId="1" fillId="6" borderId="0" xfId="0" applyFont="1" applyFill="1"/>
    <xf numFmtId="0" fontId="16" fillId="6" borderId="3" xfId="0" applyFont="1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3" xfId="0" applyFill="1" applyBorder="1"/>
    <xf numFmtId="0" fontId="0" fillId="6" borderId="13" xfId="0" quotePrefix="1" applyFill="1" applyBorder="1"/>
    <xf numFmtId="0" fontId="0" fillId="6" borderId="8" xfId="0" quotePrefix="1" applyFill="1" applyBorder="1"/>
    <xf numFmtId="0" fontId="0" fillId="3" borderId="0" xfId="0" applyFill="1"/>
    <xf numFmtId="0" fontId="0" fillId="3" borderId="0" xfId="0" quotePrefix="1" applyFill="1"/>
    <xf numFmtId="0" fontId="1" fillId="7" borderId="0" xfId="0" applyFont="1" applyFill="1"/>
    <xf numFmtId="0" fontId="0" fillId="7" borderId="0" xfId="0" applyFill="1"/>
    <xf numFmtId="0" fontId="16" fillId="7" borderId="3" xfId="0" applyFont="1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3" xfId="0" applyFill="1" applyBorder="1"/>
    <xf numFmtId="0" fontId="1" fillId="8" borderId="0" xfId="0" applyFont="1" applyFill="1"/>
    <xf numFmtId="0" fontId="0" fillId="8" borderId="0" xfId="0" applyFill="1"/>
    <xf numFmtId="0" fontId="16" fillId="8" borderId="3" xfId="0" applyFont="1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3" xfId="0" applyFill="1" applyBorder="1"/>
    <xf numFmtId="49" fontId="0" fillId="8" borderId="3" xfId="0" applyNumberFormat="1" applyFill="1" applyBorder="1"/>
    <xf numFmtId="0" fontId="1" fillId="10" borderId="0" xfId="0" applyFont="1" applyFill="1"/>
    <xf numFmtId="0" fontId="0" fillId="10" borderId="0" xfId="0" applyFill="1"/>
    <xf numFmtId="0" fontId="16" fillId="10" borderId="3" xfId="0" applyFont="1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3" xfId="0" applyFill="1" applyBorder="1"/>
    <xf numFmtId="49" fontId="0" fillId="10" borderId="3" xfId="0" applyNumberFormat="1" applyFill="1" applyBorder="1"/>
    <xf numFmtId="0" fontId="11" fillId="10" borderId="3" xfId="0" applyFont="1" applyFill="1" applyBorder="1"/>
    <xf numFmtId="0" fontId="0" fillId="10" borderId="14" xfId="0" applyFill="1" applyBorder="1"/>
    <xf numFmtId="49" fontId="11" fillId="10" borderId="3" xfId="0" applyNumberFormat="1" applyFont="1" applyFill="1" applyBorder="1"/>
    <xf numFmtId="0" fontId="0" fillId="11" borderId="0" xfId="0" applyFill="1"/>
    <xf numFmtId="0" fontId="11" fillId="2" borderId="0" xfId="0" applyFont="1" applyFill="1"/>
    <xf numFmtId="0" fontId="11" fillId="4" borderId="8" xfId="0" applyFont="1" applyFill="1" applyBorder="1"/>
    <xf numFmtId="0" fontId="11" fillId="4" borderId="11" xfId="0" applyFont="1" applyFill="1" applyBorder="1"/>
    <xf numFmtId="0" fontId="11" fillId="4" borderId="6" xfId="0" applyFont="1" applyFill="1" applyBorder="1"/>
    <xf numFmtId="0" fontId="11" fillId="5" borderId="8" xfId="0" applyFont="1" applyFill="1" applyBorder="1"/>
    <xf numFmtId="0" fontId="11" fillId="5" borderId="0" xfId="0" applyFont="1" applyFill="1"/>
    <xf numFmtId="0" fontId="11" fillId="5" borderId="13" xfId="0" applyFont="1" applyFill="1" applyBorder="1"/>
    <xf numFmtId="0" fontId="11" fillId="5" borderId="6" xfId="0" applyFont="1" applyFill="1" applyBorder="1"/>
    <xf numFmtId="0" fontId="11" fillId="5" borderId="9" xfId="0" applyFont="1" applyFill="1" applyBorder="1"/>
    <xf numFmtId="0" fontId="11" fillId="5" borderId="11" xfId="0" applyFont="1" applyFill="1" applyBorder="1"/>
    <xf numFmtId="0" fontId="11" fillId="5" borderId="0" xfId="0" quotePrefix="1" applyFont="1" applyFill="1"/>
    <xf numFmtId="0" fontId="11" fillId="6" borderId="8" xfId="0" applyFont="1" applyFill="1" applyBorder="1"/>
    <xf numFmtId="0" fontId="11" fillId="6" borderId="0" xfId="0" applyFont="1" applyFill="1"/>
    <xf numFmtId="0" fontId="11" fillId="6" borderId="13" xfId="0" applyFont="1" applyFill="1" applyBorder="1"/>
    <xf numFmtId="0" fontId="11" fillId="6" borderId="6" xfId="0" applyFont="1" applyFill="1" applyBorder="1"/>
    <xf numFmtId="0" fontId="11" fillId="6" borderId="11" xfId="0" applyFont="1" applyFill="1" applyBorder="1"/>
    <xf numFmtId="0" fontId="21" fillId="0" borderId="0" xfId="0" applyFont="1"/>
    <xf numFmtId="0" fontId="9" fillId="0" borderId="0" xfId="0" applyFont="1"/>
    <xf numFmtId="0" fontId="28" fillId="0" borderId="0" xfId="0" applyFont="1"/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29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/>
    <xf numFmtId="0" fontId="0" fillId="3" borderId="0" xfId="0" applyFill="1" applyAlignment="1">
      <alignment textRotation="90"/>
    </xf>
    <xf numFmtId="0" fontId="30" fillId="0" borderId="0" xfId="0" applyFont="1"/>
    <xf numFmtId="0" fontId="7" fillId="3" borderId="0" xfId="0" applyFont="1" applyFill="1"/>
    <xf numFmtId="0" fontId="7" fillId="12" borderId="0" xfId="0" applyFont="1" applyFill="1"/>
    <xf numFmtId="0" fontId="0" fillId="12" borderId="0" xfId="0" applyFill="1"/>
    <xf numFmtId="0" fontId="12" fillId="0" borderId="0" xfId="0" applyFont="1" applyAlignment="1">
      <alignment textRotation="90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29" fillId="0" borderId="0" xfId="0" applyFont="1"/>
    <xf numFmtId="0" fontId="29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vertical="center" wrapText="1"/>
    </xf>
    <xf numFmtId="0" fontId="7" fillId="0" borderId="0" xfId="1" applyFont="1"/>
    <xf numFmtId="0" fontId="31" fillId="13" borderId="15" xfId="0" applyFont="1" applyFill="1" applyBorder="1" applyAlignment="1">
      <alignment horizontal="center"/>
    </xf>
    <xf numFmtId="0" fontId="25" fillId="3" borderId="1" xfId="0" applyFont="1" applyFill="1" applyBorder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left"/>
    </xf>
    <xf numFmtId="0" fontId="16" fillId="0" borderId="0" xfId="0" applyFont="1"/>
    <xf numFmtId="0" fontId="11" fillId="4" borderId="0" xfId="0" applyFont="1" applyFill="1"/>
    <xf numFmtId="0" fontId="26" fillId="0" borderId="0" xfId="0" applyFont="1"/>
    <xf numFmtId="0" fontId="11" fillId="4" borderId="13" xfId="0" applyFont="1" applyFill="1" applyBorder="1"/>
    <xf numFmtId="0" fontId="0" fillId="4" borderId="44" xfId="0" applyFill="1" applyBorder="1"/>
    <xf numFmtId="0" fontId="0" fillId="4" borderId="45" xfId="0" applyFill="1" applyBorder="1"/>
    <xf numFmtId="0" fontId="0" fillId="4" borderId="46" xfId="0" applyFill="1" applyBorder="1"/>
    <xf numFmtId="0" fontId="0" fillId="4" borderId="47" xfId="0" applyFill="1" applyBorder="1"/>
    <xf numFmtId="0" fontId="0" fillId="4" borderId="48" xfId="0" applyFill="1" applyBorder="1"/>
    <xf numFmtId="0" fontId="0" fillId="4" borderId="49" xfId="0" applyFill="1" applyBorder="1"/>
    <xf numFmtId="0" fontId="0" fillId="4" borderId="50" xfId="0" applyFill="1" applyBorder="1"/>
    <xf numFmtId="0" fontId="0" fillId="4" borderId="51" xfId="0" applyFill="1" applyBorder="1"/>
    <xf numFmtId="0" fontId="11" fillId="5" borderId="44" xfId="0" applyFont="1" applyFill="1" applyBorder="1"/>
    <xf numFmtId="0" fontId="0" fillId="5" borderId="45" xfId="0" applyFill="1" applyBorder="1"/>
    <xf numFmtId="0" fontId="0" fillId="5" borderId="46" xfId="0" applyFill="1" applyBorder="1"/>
    <xf numFmtId="0" fontId="0" fillId="5" borderId="47" xfId="0" applyFill="1" applyBorder="1"/>
    <xf numFmtId="0" fontId="0" fillId="5" borderId="48" xfId="0" applyFill="1" applyBorder="1"/>
    <xf numFmtId="0" fontId="0" fillId="5" borderId="49" xfId="0" applyFill="1" applyBorder="1"/>
    <xf numFmtId="0" fontId="0" fillId="5" borderId="50" xfId="0" applyFill="1" applyBorder="1"/>
    <xf numFmtId="0" fontId="0" fillId="5" borderId="51" xfId="0" applyFill="1" applyBorder="1"/>
    <xf numFmtId="0" fontId="0" fillId="5" borderId="44" xfId="0" applyFill="1" applyBorder="1"/>
    <xf numFmtId="0" fontId="11" fillId="0" borderId="0" xfId="0" applyFont="1" applyAlignment="1" applyProtection="1">
      <alignment horizontal="left"/>
      <protection locked="0"/>
    </xf>
    <xf numFmtId="0" fontId="32" fillId="0" borderId="0" xfId="0" applyFont="1"/>
    <xf numFmtId="0" fontId="33" fillId="0" borderId="0" xfId="0" applyFont="1"/>
    <xf numFmtId="0" fontId="34" fillId="0" borderId="16" xfId="0" applyFont="1" applyBorder="1"/>
    <xf numFmtId="0" fontId="34" fillId="0" borderId="2" xfId="0" applyFont="1" applyBorder="1"/>
    <xf numFmtId="0" fontId="34" fillId="0" borderId="0" xfId="0" applyFont="1"/>
    <xf numFmtId="1" fontId="35" fillId="14" borderId="52" xfId="0" applyNumberFormat="1" applyFont="1" applyFill="1" applyBorder="1" applyAlignment="1" applyProtection="1">
      <alignment horizontal="left" vertical="center" textRotation="90"/>
      <protection locked="0"/>
    </xf>
    <xf numFmtId="49" fontId="27" fillId="0" borderId="0" xfId="0" applyNumberFormat="1" applyFont="1"/>
    <xf numFmtId="0" fontId="11" fillId="0" borderId="0" xfId="0" quotePrefix="1" applyFont="1"/>
    <xf numFmtId="0" fontId="7" fillId="0" borderId="0" xfId="0" applyFont="1"/>
    <xf numFmtId="0" fontId="11" fillId="0" borderId="0" xfId="0" applyFont="1"/>
    <xf numFmtId="0" fontId="7" fillId="0" borderId="0" xfId="0" applyFont="1" applyAlignment="1">
      <alignment horizontal="center"/>
    </xf>
    <xf numFmtId="0" fontId="1" fillId="0" borderId="0" xfId="0" applyFont="1"/>
    <xf numFmtId="0" fontId="0" fillId="0" borderId="0" xfId="0"/>
    <xf numFmtId="165" fontId="11" fillId="0" borderId="0" xfId="0" applyNumberFormat="1" applyFont="1"/>
    <xf numFmtId="164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165" fontId="37" fillId="14" borderId="20" xfId="0" quotePrefix="1" applyNumberFormat="1" applyFont="1" applyFill="1" applyBorder="1" applyAlignment="1" applyProtection="1">
      <alignment horizontal="center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4" borderId="27" xfId="0" applyNumberFormat="1" applyFill="1" applyBorder="1" applyAlignment="1" applyProtection="1">
      <alignment horizontal="left"/>
      <protection locked="0"/>
    </xf>
    <xf numFmtId="0" fontId="0" fillId="0" borderId="68" xfId="0" applyBorder="1" applyProtection="1">
      <protection locked="0"/>
    </xf>
    <xf numFmtId="49" fontId="36" fillId="15" borderId="55" xfId="0" applyNumberFormat="1" applyFont="1" applyFill="1" applyBorder="1"/>
    <xf numFmtId="0" fontId="0" fillId="0" borderId="53" xfId="0" applyBorder="1"/>
    <xf numFmtId="0" fontId="0" fillId="0" borderId="54" xfId="0" applyBorder="1"/>
    <xf numFmtId="0" fontId="37" fillId="9" borderId="25" xfId="0" applyFont="1" applyFill="1" applyBorder="1"/>
    <xf numFmtId="0" fontId="0" fillId="0" borderId="18" xfId="0" applyBorder="1"/>
    <xf numFmtId="0" fontId="0" fillId="0" borderId="65" xfId="0" applyBorder="1"/>
    <xf numFmtId="165" fontId="37" fillId="14" borderId="24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24" xfId="0" applyBorder="1" applyProtection="1">
      <protection locked="0"/>
    </xf>
    <xf numFmtId="0" fontId="11" fillId="4" borderId="20" xfId="0" applyFont="1" applyFill="1" applyBorder="1"/>
    <xf numFmtId="0" fontId="0" fillId="0" borderId="19" xfId="0" applyBorder="1"/>
    <xf numFmtId="0" fontId="30" fillId="4" borderId="21" xfId="0" applyFont="1" applyFill="1" applyBorder="1" applyAlignment="1" applyProtection="1">
      <alignment horizontal="center"/>
      <protection locked="0"/>
    </xf>
    <xf numFmtId="0" fontId="37" fillId="14" borderId="25" xfId="0" applyFont="1" applyFill="1" applyBorder="1"/>
    <xf numFmtId="0" fontId="11" fillId="4" borderId="22" xfId="0" applyFont="1" applyFill="1" applyBorder="1" applyAlignment="1" applyProtection="1">
      <alignment horizontal="center"/>
      <protection locked="0"/>
    </xf>
    <xf numFmtId="49" fontId="7" fillId="0" borderId="62" xfId="0" applyNumberFormat="1" applyFont="1" applyBorder="1"/>
    <xf numFmtId="0" fontId="0" fillId="0" borderId="58" xfId="0" applyBorder="1"/>
    <xf numFmtId="0" fontId="0" fillId="0" borderId="62" xfId="0" applyBorder="1"/>
    <xf numFmtId="0" fontId="3" fillId="0" borderId="0" xfId="0" quotePrefix="1" applyFont="1"/>
    <xf numFmtId="0" fontId="0" fillId="0" borderId="0" xfId="0"/>
    <xf numFmtId="166" fontId="37" fillId="14" borderId="22" xfId="0" applyNumberFormat="1" applyFont="1" applyFill="1" applyBorder="1" applyAlignment="1" applyProtection="1">
      <alignment horizontal="center"/>
      <protection locked="0"/>
    </xf>
    <xf numFmtId="0" fontId="36" fillId="15" borderId="55" xfId="0" applyFont="1" applyFill="1" applyBorder="1" applyAlignment="1">
      <alignment horizontal="center"/>
    </xf>
    <xf numFmtId="49" fontId="36" fillId="14" borderId="66" xfId="0" applyNumberFormat="1" applyFont="1" applyFill="1" applyBorder="1" applyAlignment="1">
      <alignment horizontal="left"/>
    </xf>
    <xf numFmtId="0" fontId="0" fillId="0" borderId="56" xfId="0" applyBorder="1"/>
    <xf numFmtId="0" fontId="0" fillId="0" borderId="57" xfId="0" applyBorder="1"/>
    <xf numFmtId="0" fontId="0" fillId="4" borderId="20" xfId="0" applyFill="1" applyBorder="1" applyAlignment="1" applyProtection="1">
      <alignment horizontal="center"/>
      <protection locked="0"/>
    </xf>
    <xf numFmtId="49" fontId="29" fillId="15" borderId="55" xfId="0" applyNumberFormat="1" applyFont="1" applyFill="1" applyBorder="1"/>
    <xf numFmtId="165" fontId="37" fillId="14" borderId="24" xfId="0" quotePrefix="1" applyNumberFormat="1" applyFont="1" applyFill="1" applyBorder="1" applyAlignment="1" applyProtection="1">
      <alignment horizontal="center"/>
      <protection locked="0"/>
    </xf>
    <xf numFmtId="49" fontId="7" fillId="0" borderId="75" xfId="0" applyNumberFormat="1" applyFont="1" applyBorder="1" applyAlignment="1">
      <alignment horizontal="left"/>
    </xf>
    <xf numFmtId="1" fontId="36" fillId="14" borderId="66" xfId="0" applyNumberFormat="1" applyFont="1" applyFill="1" applyBorder="1" applyAlignment="1">
      <alignment horizontal="center"/>
    </xf>
    <xf numFmtId="0" fontId="9" fillId="0" borderId="69" xfId="0" applyFont="1" applyBorder="1" applyAlignment="1">
      <alignment horizontal="center" vertical="top" wrapText="1"/>
    </xf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37" fillId="14" borderId="25" xfId="0" applyFont="1" applyFill="1" applyBorder="1" applyAlignment="1" applyProtection="1">
      <alignment horizontal="left"/>
      <protection locked="0"/>
    </xf>
    <xf numFmtId="0" fontId="0" fillId="0" borderId="65" xfId="0" applyBorder="1" applyProtection="1">
      <protection locked="0"/>
    </xf>
    <xf numFmtId="0" fontId="7" fillId="4" borderId="25" xfId="0" applyFont="1" applyFill="1" applyBorder="1" applyAlignment="1" applyProtection="1">
      <alignment horizontal="center"/>
      <protection locked="0"/>
    </xf>
    <xf numFmtId="49" fontId="29" fillId="15" borderId="54" xfId="0" quotePrefix="1" applyNumberFormat="1" applyFont="1" applyFill="1" applyBorder="1" applyProtection="1">
      <protection hidden="1"/>
    </xf>
    <xf numFmtId="0" fontId="0" fillId="0" borderId="53" xfId="0" applyBorder="1" applyProtection="1">
      <protection hidden="1"/>
    </xf>
    <xf numFmtId="0" fontId="0" fillId="0" borderId="54" xfId="0" applyBorder="1" applyProtection="1">
      <protection hidden="1"/>
    </xf>
    <xf numFmtId="166" fontId="37" fillId="14" borderId="64" xfId="0" applyNumberFormat="1" applyFont="1" applyFill="1" applyBorder="1" applyAlignment="1" applyProtection="1">
      <alignment horizontal="center"/>
      <protection locked="0"/>
    </xf>
    <xf numFmtId="164" fontId="7" fillId="4" borderId="67" xfId="0" applyNumberFormat="1" applyFont="1" applyFill="1" applyBorder="1" applyAlignment="1" applyProtection="1">
      <alignment horizontal="center"/>
      <protection locked="0"/>
    </xf>
    <xf numFmtId="0" fontId="11" fillId="4" borderId="20" xfId="0" applyFont="1" applyFill="1" applyBorder="1" applyAlignment="1" applyProtection="1">
      <alignment horizontal="center"/>
      <protection locked="0"/>
    </xf>
    <xf numFmtId="165" fontId="37" fillId="14" borderId="20" xfId="0" applyNumberFormat="1" applyFont="1" applyFill="1" applyBorder="1" applyAlignment="1" applyProtection="1">
      <alignment horizontal="center"/>
      <protection locked="0"/>
    </xf>
    <xf numFmtId="167" fontId="0" fillId="0" borderId="0" xfId="0" applyNumberFormat="1" applyAlignment="1">
      <alignment horizontal="center"/>
    </xf>
    <xf numFmtId="0" fontId="11" fillId="9" borderId="73" xfId="0" applyFont="1" applyFill="1" applyBorder="1"/>
    <xf numFmtId="0" fontId="0" fillId="0" borderId="37" xfId="0" applyBorder="1"/>
    <xf numFmtId="0" fontId="0" fillId="0" borderId="38" xfId="0" applyBorder="1"/>
    <xf numFmtId="49" fontId="11" fillId="0" borderId="58" xfId="0" applyNumberFormat="1" applyFont="1" applyBorder="1" applyProtection="1">
      <protection hidden="1"/>
    </xf>
    <xf numFmtId="0" fontId="0" fillId="0" borderId="58" xfId="0" applyBorder="1" applyProtection="1">
      <protection hidden="1"/>
    </xf>
    <xf numFmtId="0" fontId="36" fillId="15" borderId="55" xfId="0" applyFont="1" applyFill="1" applyBorder="1"/>
    <xf numFmtId="49" fontId="11" fillId="14" borderId="20" xfId="0" applyNumberFormat="1" applyFont="1" applyFill="1" applyBorder="1" applyProtection="1">
      <protection locked="0"/>
    </xf>
    <xf numFmtId="49" fontId="36" fillId="15" borderId="55" xfId="0" applyNumberFormat="1" applyFont="1" applyFill="1" applyBorder="1" applyAlignment="1">
      <alignment horizontal="left"/>
    </xf>
    <xf numFmtId="0" fontId="0" fillId="0" borderId="0" xfId="0" applyAlignment="1">
      <alignment shrinkToFit="1"/>
    </xf>
    <xf numFmtId="0" fontId="11" fillId="11" borderId="71" xfId="0" applyFont="1" applyFill="1" applyBorder="1"/>
    <xf numFmtId="0" fontId="0" fillId="0" borderId="33" xfId="0" applyBorder="1"/>
    <xf numFmtId="0" fontId="0" fillId="0" borderId="34" xfId="0" applyBorder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11" fillId="11" borderId="64" xfId="0" applyFont="1" applyFill="1" applyBorder="1"/>
    <xf numFmtId="0" fontId="0" fillId="0" borderId="23" xfId="0" applyBorder="1"/>
    <xf numFmtId="0" fontId="0" fillId="0" borderId="24" xfId="0" applyBorder="1"/>
    <xf numFmtId="0" fontId="11" fillId="4" borderId="24" xfId="0" applyFont="1" applyFill="1" applyBorder="1" applyAlignment="1" applyProtection="1">
      <alignment horizontal="center"/>
      <protection locked="0"/>
    </xf>
    <xf numFmtId="49" fontId="36" fillId="16" borderId="55" xfId="0" applyNumberFormat="1" applyFont="1" applyFill="1" applyBorder="1"/>
    <xf numFmtId="49" fontId="7" fillId="0" borderId="75" xfId="0" applyNumberFormat="1" applyFont="1" applyBorder="1" applyAlignment="1">
      <alignment horizontal="center"/>
    </xf>
    <xf numFmtId="165" fontId="37" fillId="17" borderId="64" xfId="0" applyNumberFormat="1" applyFont="1" applyFill="1" applyBorder="1" applyAlignment="1" applyProtection="1">
      <alignment horizontal="center"/>
      <protection locked="0"/>
    </xf>
    <xf numFmtId="49" fontId="36" fillId="15" borderId="55" xfId="0" applyNumberFormat="1" applyFont="1" applyFill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37" fillId="4" borderId="25" xfId="0" applyFont="1" applyFill="1" applyBorder="1" applyAlignment="1" applyProtection="1">
      <alignment horizontal="center"/>
      <protection locked="0"/>
    </xf>
    <xf numFmtId="0" fontId="0" fillId="4" borderId="72" xfId="0" applyFill="1" applyBorder="1" applyAlignment="1" applyProtection="1">
      <alignment horizontal="center"/>
      <protection locked="0"/>
    </xf>
    <xf numFmtId="0" fontId="0" fillId="0" borderId="60" xfId="0" applyBorder="1" applyProtection="1">
      <protection locked="0"/>
    </xf>
    <xf numFmtId="0" fontId="0" fillId="0" borderId="61" xfId="0" applyBorder="1" applyProtection="1">
      <protection locked="0"/>
    </xf>
    <xf numFmtId="49" fontId="7" fillId="0" borderId="17" xfId="0" applyNumberFormat="1" applyFont="1" applyBorder="1" applyAlignment="1">
      <alignment horizontal="center" vertical="top" wrapText="1"/>
    </xf>
    <xf numFmtId="0" fontId="0" fillId="0" borderId="17" xfId="0" applyBorder="1"/>
    <xf numFmtId="49" fontId="0" fillId="4" borderId="20" xfId="0" applyNumberFormat="1" applyFill="1" applyBorder="1" applyProtection="1">
      <protection locked="0"/>
    </xf>
    <xf numFmtId="0" fontId="7" fillId="0" borderId="69" xfId="0" applyFont="1" applyBorder="1" applyAlignment="1">
      <alignment horizontal="center" vertical="top" wrapText="1"/>
    </xf>
    <xf numFmtId="49" fontId="39" fillId="4" borderId="20" xfId="0" applyNumberFormat="1" applyFont="1" applyFill="1" applyBorder="1" applyAlignment="1" applyProtection="1">
      <alignment horizontal="left" wrapText="1"/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31" xfId="0" applyBorder="1" applyProtection="1">
      <protection locked="0"/>
    </xf>
    <xf numFmtId="49" fontId="7" fillId="0" borderId="62" xfId="0" applyNumberFormat="1" applyFont="1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16" xfId="0" applyBorder="1"/>
    <xf numFmtId="0" fontId="0" fillId="0" borderId="39" xfId="0" applyBorder="1"/>
    <xf numFmtId="165" fontId="37" fillId="14" borderId="64" xfId="0" applyNumberFormat="1" applyFont="1" applyFill="1" applyBorder="1" applyAlignment="1" applyProtection="1">
      <alignment horizontal="center"/>
      <protection locked="0"/>
    </xf>
    <xf numFmtId="165" fontId="37" fillId="17" borderId="20" xfId="0" quotePrefix="1" applyNumberFormat="1" applyFont="1" applyFill="1" applyBorder="1" applyAlignment="1" applyProtection="1">
      <alignment horizontal="center"/>
      <protection locked="0"/>
    </xf>
    <xf numFmtId="0" fontId="11" fillId="4" borderId="42" xfId="0" applyFont="1" applyFill="1" applyBorder="1" applyAlignment="1" applyProtection="1">
      <alignment horizontal="center"/>
      <protection locked="0"/>
    </xf>
    <xf numFmtId="0" fontId="0" fillId="0" borderId="78" xfId="0" applyBorder="1" applyProtection="1">
      <protection locked="0"/>
    </xf>
    <xf numFmtId="0" fontId="11" fillId="0" borderId="69" xfId="0" applyFont="1" applyBorder="1" applyAlignment="1">
      <alignment horizontal="center" vertical="top" wrapText="1"/>
    </xf>
    <xf numFmtId="165" fontId="37" fillId="17" borderId="64" xfId="0" quotePrefix="1" applyNumberFormat="1" applyFont="1" applyFill="1" applyBorder="1" applyAlignment="1" applyProtection="1">
      <alignment horizontal="center"/>
      <protection locked="0"/>
    </xf>
    <xf numFmtId="49" fontId="0" fillId="4" borderId="64" xfId="0" applyNumberFormat="1" applyFill="1" applyBorder="1" applyProtection="1">
      <protection locked="0"/>
    </xf>
    <xf numFmtId="0" fontId="1" fillId="0" borderId="77" xfId="0" applyFont="1" applyBorder="1" applyAlignment="1">
      <alignment horizontal="center"/>
    </xf>
    <xf numFmtId="0" fontId="0" fillId="0" borderId="35" xfId="0" applyBorder="1"/>
    <xf numFmtId="0" fontId="0" fillId="0" borderId="36" xfId="0" applyBorder="1"/>
    <xf numFmtId="0" fontId="11" fillId="0" borderId="0" xfId="0" applyFont="1"/>
    <xf numFmtId="49" fontId="11" fillId="4" borderId="64" xfId="0" applyNumberFormat="1" applyFont="1" applyFill="1" applyBorder="1" applyProtection="1">
      <protection locked="0"/>
    </xf>
    <xf numFmtId="0" fontId="37" fillId="17" borderId="25" xfId="0" applyFont="1" applyFill="1" applyBorder="1"/>
    <xf numFmtId="0" fontId="40" fillId="14" borderId="59" xfId="0" applyFont="1" applyFill="1" applyBorder="1" applyAlignment="1">
      <alignment horizontal="left"/>
    </xf>
    <xf numFmtId="0" fontId="0" fillId="0" borderId="59" xfId="0" applyBorder="1"/>
    <xf numFmtId="166" fontId="37" fillId="17" borderId="22" xfId="0" applyNumberFormat="1" applyFont="1" applyFill="1" applyBorder="1" applyAlignment="1" applyProtection="1">
      <alignment horizontal="center"/>
      <protection locked="0"/>
    </xf>
    <xf numFmtId="165" fontId="37" fillId="17" borderId="24" xfId="0" quotePrefix="1" applyNumberFormat="1" applyFont="1" applyFill="1" applyBorder="1" applyAlignment="1" applyProtection="1">
      <alignment horizontal="center"/>
      <protection locked="0"/>
    </xf>
    <xf numFmtId="49" fontId="7" fillId="0" borderId="0" xfId="0" applyNumberFormat="1" applyFont="1" applyAlignment="1">
      <alignment horizontal="left"/>
    </xf>
    <xf numFmtId="0" fontId="7" fillId="0" borderId="63" xfId="0" applyFont="1" applyBorder="1" applyAlignment="1">
      <alignment horizontal="left" vertical="center" wrapText="1"/>
    </xf>
    <xf numFmtId="0" fontId="0" fillId="0" borderId="63" xfId="0" applyBorder="1"/>
    <xf numFmtId="0" fontId="38" fillId="14" borderId="59" xfId="0" applyFont="1" applyFill="1" applyBorder="1" applyAlignment="1">
      <alignment horizontal="left"/>
    </xf>
    <xf numFmtId="0" fontId="11" fillId="4" borderId="64" xfId="0" applyFont="1" applyFill="1" applyBorder="1" applyAlignment="1" applyProtection="1">
      <alignment horizontal="left"/>
      <protection locked="0"/>
    </xf>
    <xf numFmtId="49" fontId="0" fillId="4" borderId="32" xfId="0" applyNumberFormat="1" applyFill="1" applyBorder="1" applyAlignment="1" applyProtection="1">
      <alignment horizontal="left"/>
      <protection locked="0"/>
    </xf>
    <xf numFmtId="0" fontId="0" fillId="0" borderId="70" xfId="0" applyBorder="1" applyProtection="1">
      <protection locked="0"/>
    </xf>
    <xf numFmtId="0" fontId="0" fillId="0" borderId="76" xfId="0" applyBorder="1" applyAlignment="1">
      <alignment horizontal="center"/>
    </xf>
    <xf numFmtId="0" fontId="0" fillId="0" borderId="40" xfId="0" applyBorder="1"/>
    <xf numFmtId="0" fontId="0" fillId="0" borderId="41" xfId="0" applyBorder="1"/>
    <xf numFmtId="49" fontId="11" fillId="4" borderId="20" xfId="0" applyNumberFormat="1" applyFont="1" applyFill="1" applyBorder="1" applyProtection="1">
      <protection locked="0"/>
    </xf>
    <xf numFmtId="0" fontId="0" fillId="11" borderId="64" xfId="0" applyFill="1" applyBorder="1" applyAlignment="1" applyProtection="1">
      <alignment horizontal="left"/>
      <protection locked="0"/>
    </xf>
    <xf numFmtId="0" fontId="11" fillId="0" borderId="69" xfId="0" applyFont="1" applyBorder="1" applyAlignment="1">
      <alignment horizontal="center" vertical="center" textRotation="90" shrinkToFit="1"/>
    </xf>
    <xf numFmtId="0" fontId="1" fillId="0" borderId="0" xfId="0" applyFont="1"/>
    <xf numFmtId="0" fontId="1" fillId="2" borderId="0" xfId="0" applyFont="1" applyFill="1" applyAlignment="1">
      <alignment horizontal="left" wrapText="1"/>
    </xf>
    <xf numFmtId="0" fontId="3" fillId="0" borderId="14" xfId="0" applyFont="1" applyBorder="1"/>
    <xf numFmtId="0" fontId="0" fillId="0" borderId="5" xfId="0" applyBorder="1"/>
    <xf numFmtId="0" fontId="0" fillId="0" borderId="4" xfId="0" applyBorder="1"/>
    <xf numFmtId="0" fontId="3" fillId="0" borderId="14" xfId="0" applyFont="1" applyBorder="1" applyAlignment="1">
      <alignment wrapText="1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11" fillId="0" borderId="43" xfId="0" applyFont="1" applyBorder="1" applyAlignment="1">
      <alignment wrapText="1"/>
    </xf>
    <xf numFmtId="0" fontId="20" fillId="0" borderId="14" xfId="0" applyFont="1" applyBorder="1"/>
    <xf numFmtId="0" fontId="3" fillId="0" borderId="69" xfId="0" applyFont="1" applyBorder="1" applyAlignment="1">
      <alignment horizontal="center" wrapText="1"/>
    </xf>
    <xf numFmtId="0" fontId="3" fillId="0" borderId="69" xfId="0" applyFont="1" applyBorder="1" applyAlignment="1">
      <alignment wrapText="1"/>
    </xf>
    <xf numFmtId="0" fontId="3" fillId="0" borderId="43" xfId="0" applyFont="1" applyBorder="1" applyAlignment="1">
      <alignment wrapText="1"/>
    </xf>
  </cellXfs>
  <cellStyles count="2">
    <cellStyle name="Normal" xfId="0" builtinId="0"/>
    <cellStyle name="Standard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11</xdr:row>
      <xdr:rowOff>91440</xdr:rowOff>
    </xdr:from>
    <xdr:to>
      <xdr:col>12</xdr:col>
      <xdr:colOff>45720</xdr:colOff>
      <xdr:row>12</xdr:row>
      <xdr:rowOff>45720</xdr:rowOff>
    </xdr:to>
    <xdr:pic>
      <xdr:nvPicPr>
        <xdr:cNvPr id="105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2156460"/>
          <a:ext cx="1181100" cy="243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11</xdr:col>
      <xdr:colOff>76200</xdr:colOff>
      <xdr:row>30</xdr:row>
      <xdr:rowOff>83820</xdr:rowOff>
    </xdr:from>
    <xdr:to>
      <xdr:col>29</xdr:col>
      <xdr:colOff>7620</xdr:colOff>
      <xdr:row>32</xdr:row>
      <xdr:rowOff>53340</xdr:rowOff>
    </xdr:to>
    <xdr:pic>
      <xdr:nvPicPr>
        <xdr:cNvPr id="8033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829300"/>
          <a:ext cx="185166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oneCell">
    <xdr:from>
      <xdr:col>84</xdr:col>
      <xdr:colOff>99060</xdr:colOff>
      <xdr:row>16</xdr:row>
      <xdr:rowOff>0</xdr:rowOff>
    </xdr:from>
    <xdr:to>
      <xdr:col>85</xdr:col>
      <xdr:colOff>7620</xdr:colOff>
      <xdr:row>16</xdr:row>
      <xdr:rowOff>7620</xdr:rowOff>
    </xdr:to>
    <xdr:pic>
      <xdr:nvPicPr>
        <xdr:cNvPr id="8056" name="Toggle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0180" y="3307080"/>
          <a:ext cx="15240" cy="76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7620</xdr:colOff>
      <xdr:row>11</xdr:row>
      <xdr:rowOff>91440</xdr:rowOff>
    </xdr:from>
    <xdr:to>
      <xdr:col>22</xdr:col>
      <xdr:colOff>99060</xdr:colOff>
      <xdr:row>12</xdr:row>
      <xdr:rowOff>45720</xdr:rowOff>
    </xdr:to>
    <xdr:pic>
      <xdr:nvPicPr>
        <xdr:cNvPr id="11387" name="CommandButton4" descr="Löschen der Pintabel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820" y="2156460"/>
          <a:ext cx="838200" cy="243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50</xdr:col>
      <xdr:colOff>30480</xdr:colOff>
      <xdr:row>11</xdr:row>
      <xdr:rowOff>91440</xdr:rowOff>
    </xdr:from>
    <xdr:to>
      <xdr:col>53</xdr:col>
      <xdr:colOff>83820</xdr:colOff>
      <xdr:row>12</xdr:row>
      <xdr:rowOff>45720</xdr:rowOff>
    </xdr:to>
    <xdr:pic>
      <xdr:nvPicPr>
        <xdr:cNvPr id="1412213" name="ExchangePinInfo" descr="Exchange Pin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4480" y="2156460"/>
          <a:ext cx="373380" cy="243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82</xdr:col>
      <xdr:colOff>83820</xdr:colOff>
      <xdr:row>12</xdr:row>
      <xdr:rowOff>76200</xdr:rowOff>
    </xdr:from>
    <xdr:to>
      <xdr:col>93</xdr:col>
      <xdr:colOff>15240</xdr:colOff>
      <xdr:row>13</xdr:row>
      <xdr:rowOff>45720</xdr:rowOff>
    </xdr:to>
    <xdr:pic>
      <xdr:nvPicPr>
        <xdr:cNvPr id="1466967" name="CLLink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1580" y="2430780"/>
          <a:ext cx="1104900" cy="25908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36</xdr:col>
      <xdr:colOff>45720</xdr:colOff>
      <xdr:row>11</xdr:row>
      <xdr:rowOff>91440</xdr:rowOff>
    </xdr:from>
    <xdr:to>
      <xdr:col>43</xdr:col>
      <xdr:colOff>0</xdr:colOff>
      <xdr:row>12</xdr:row>
      <xdr:rowOff>60960</xdr:rowOff>
    </xdr:to>
    <xdr:pic>
      <xdr:nvPicPr>
        <xdr:cNvPr id="2456103" name="StromCopyBT" descr="Copy Stromwerte von Pin in Memory (&quot;grün)&quot; und Paste an Ziel Pi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56460"/>
          <a:ext cx="701040" cy="259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23</xdr:col>
      <xdr:colOff>91440</xdr:colOff>
      <xdr:row>11</xdr:row>
      <xdr:rowOff>91440</xdr:rowOff>
    </xdr:from>
    <xdr:to>
      <xdr:col>33</xdr:col>
      <xdr:colOff>53340</xdr:colOff>
      <xdr:row>12</xdr:row>
      <xdr:rowOff>60960</xdr:rowOff>
    </xdr:to>
    <xdr:pic>
      <xdr:nvPicPr>
        <xdr:cNvPr id="2886616" name="DelSteckplz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156460"/>
          <a:ext cx="1028700" cy="259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44</xdr:col>
      <xdr:colOff>91440</xdr:colOff>
      <xdr:row>11</xdr:row>
      <xdr:rowOff>91440</xdr:rowOff>
    </xdr:from>
    <xdr:to>
      <xdr:col>49</xdr:col>
      <xdr:colOff>45720</xdr:colOff>
      <xdr:row>12</xdr:row>
      <xdr:rowOff>45720</xdr:rowOff>
    </xdr:to>
    <xdr:pic>
      <xdr:nvPicPr>
        <xdr:cNvPr id="3486438" name="Pin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5360" y="2156460"/>
          <a:ext cx="487680" cy="243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IV48"/>
  <sheetViews>
    <sheetView showGridLines="0" tabSelected="1" topLeftCell="A10" zoomScale="115" zoomScaleNormal="115" workbookViewId="0">
      <selection activeCell="CN17" sqref="CN17:CT17"/>
    </sheetView>
  </sheetViews>
  <sheetFormatPr defaultColWidth="11.44140625" defaultRowHeight="13.2" x14ac:dyDescent="0.25"/>
  <cols>
    <col min="1" max="137" width="1.5546875" style="174" customWidth="1"/>
    <col min="138" max="138" width="2.44140625" style="174" customWidth="1"/>
    <col min="139" max="139" width="1.5546875" style="174" customWidth="1"/>
    <col min="140" max="141" width="1.5546875" style="174" hidden="1" customWidth="1"/>
    <col min="142" max="176" width="1.5546875" style="174" customWidth="1"/>
    <col min="177" max="225" width="1.5546875" style="115" customWidth="1"/>
    <col min="226" max="230" width="1.5546875" style="174" customWidth="1"/>
    <col min="231" max="231" width="1.5546875" style="115" customWidth="1"/>
    <col min="232" max="245" width="1.5546875" style="174" customWidth="1"/>
    <col min="246" max="252" width="11.44140625" style="174" customWidth="1"/>
    <col min="253" max="253" width="21" style="174" bestFit="1" customWidth="1"/>
    <col min="254" max="254" width="11.44140625" style="174" customWidth="1"/>
    <col min="255" max="255" width="28.44140625" style="174" bestFit="1" customWidth="1"/>
    <col min="256" max="256" width="11.44140625" style="174" customWidth="1"/>
    <col min="257" max="16384" width="11.44140625" style="174"/>
  </cols>
  <sheetData>
    <row r="1" spans="1:256" ht="16.2" customHeight="1" thickTop="1" thickBot="1" x14ac:dyDescent="0.3">
      <c r="A1" s="135" t="s">
        <v>0</v>
      </c>
      <c r="B1" s="120"/>
      <c r="C1" s="120"/>
      <c r="D1" s="120"/>
      <c r="E1" s="120"/>
      <c r="F1" s="120"/>
      <c r="G1" s="120"/>
      <c r="H1" s="138"/>
      <c r="I1" s="139" t="s">
        <v>1</v>
      </c>
      <c r="K1" s="120"/>
      <c r="L1" s="120"/>
      <c r="M1" s="120"/>
      <c r="N1" s="128"/>
      <c r="O1" s="116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36"/>
      <c r="AI1" s="1" t="s">
        <v>2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Z1" s="19"/>
      <c r="BB1" s="168" t="s">
        <v>3</v>
      </c>
      <c r="CE1" s="173"/>
      <c r="CF1" s="173"/>
      <c r="EF1" s="130"/>
      <c r="EG1" s="130"/>
      <c r="EH1" s="130"/>
      <c r="EI1" s="130"/>
      <c r="EJ1" s="130"/>
      <c r="EK1" s="130"/>
      <c r="EL1" s="130"/>
      <c r="EM1" s="130"/>
      <c r="EN1" s="130"/>
      <c r="EO1" s="130"/>
      <c r="EP1" s="130"/>
      <c r="EQ1" s="130"/>
      <c r="ER1" s="130"/>
      <c r="ES1" s="130"/>
      <c r="ET1" s="130"/>
      <c r="EU1" s="130"/>
      <c r="EV1" s="130"/>
      <c r="EW1" s="130"/>
      <c r="EX1" s="130"/>
      <c r="EY1" s="130"/>
      <c r="EZ1" s="130"/>
      <c r="FA1" s="130"/>
      <c r="FB1" s="130"/>
      <c r="FC1" s="130"/>
      <c r="FD1" s="130"/>
      <c r="FE1" s="130"/>
      <c r="FF1" s="130"/>
      <c r="FG1" s="130"/>
      <c r="FH1" s="130"/>
      <c r="FI1" s="130"/>
      <c r="FJ1" s="130"/>
      <c r="FK1" s="130"/>
      <c r="FL1" s="130"/>
      <c r="FM1" s="130"/>
      <c r="FN1" s="130"/>
      <c r="FO1" s="130"/>
      <c r="FP1" s="130"/>
      <c r="FQ1" s="130"/>
      <c r="FR1" s="130"/>
      <c r="FS1" s="130"/>
      <c r="FT1" s="130"/>
      <c r="FU1" s="131"/>
      <c r="FV1" s="131"/>
      <c r="FW1" s="131"/>
      <c r="FX1" s="131"/>
      <c r="FY1" s="131"/>
      <c r="FZ1" s="131"/>
      <c r="GA1" s="131"/>
      <c r="IS1" s="173"/>
      <c r="IT1" s="173"/>
      <c r="IU1" s="173" t="str">
        <f>IF(ISBLANK(Daten!A1),"",Daten!A1)</f>
        <v>Pintypen</v>
      </c>
    </row>
    <row r="2" spans="1:256" ht="16.2" customHeight="1" thickTop="1" thickBot="1" x14ac:dyDescent="0.3">
      <c r="A2" s="120"/>
      <c r="B2" s="120"/>
      <c r="C2" s="120"/>
      <c r="D2" s="120"/>
      <c r="E2" s="120"/>
      <c r="F2" s="120"/>
      <c r="G2" s="120"/>
      <c r="H2" s="120"/>
      <c r="I2" s="120"/>
      <c r="K2" s="120"/>
      <c r="L2" s="120"/>
      <c r="M2" s="120"/>
      <c r="N2" s="120"/>
      <c r="O2" s="120"/>
      <c r="P2" s="120"/>
      <c r="Q2" s="132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BB2" s="117"/>
      <c r="CE2" s="173"/>
      <c r="CF2" s="173"/>
      <c r="IS2" s="173"/>
      <c r="IT2" s="173"/>
      <c r="IU2" s="173" t="str">
        <f>IF(ISBLANK(Daten!A2),"",Daten!A2)</f>
        <v/>
      </c>
      <c r="IV2" s="173" t="str">
        <f>IF(ISBLANK(Daten!B2),"",Daten!B2)</f>
        <v>Pinchar0</v>
      </c>
    </row>
    <row r="3" spans="1:256" ht="15.6" customHeight="1" thickBot="1" x14ac:dyDescent="0.3">
      <c r="A3" s="120"/>
      <c r="B3" s="120"/>
      <c r="C3" s="120"/>
      <c r="D3" s="120"/>
      <c r="E3" s="120"/>
      <c r="F3" s="120"/>
      <c r="G3" s="120"/>
      <c r="H3" s="120"/>
      <c r="I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277"/>
      <c r="AH3" s="278"/>
      <c r="AI3" s="279"/>
      <c r="AJ3" s="2"/>
      <c r="AK3" s="201" t="s">
        <v>4</v>
      </c>
      <c r="AL3" s="202"/>
      <c r="AM3" s="202"/>
      <c r="AN3" s="202"/>
      <c r="AO3" s="202"/>
      <c r="AP3" s="202"/>
      <c r="AQ3" s="202"/>
      <c r="AR3" s="202"/>
      <c r="AS3" s="2"/>
      <c r="AT3" s="2"/>
      <c r="AU3" s="2"/>
      <c r="AV3" s="2"/>
      <c r="CE3" s="173"/>
      <c r="CF3" s="173"/>
      <c r="IS3" s="173"/>
      <c r="IT3" s="173"/>
      <c r="IU3" s="173" t="str">
        <f>IF(ISBLANK(Daten!A3),"",Daten!A3)</f>
        <v>Senke (SG Last)</v>
      </c>
      <c r="IV3" s="173" t="str">
        <f>IF(ISBLANK(Daten!B3),"",Daten!B3)</f>
        <v>Pinchar1</v>
      </c>
    </row>
    <row r="4" spans="1:256" x14ac:dyDescent="0.25">
      <c r="CE4" s="175"/>
      <c r="CF4" s="171"/>
      <c r="IS4" s="173"/>
      <c r="IT4" s="173"/>
      <c r="IU4" s="173" t="str">
        <f>IF(ISBLANK(Daten!A4),"",Daten!A4)</f>
        <v>Quelle (SG Ausgang)</v>
      </c>
      <c r="IV4" s="173" t="str">
        <f>IF(ISBLANK(Daten!B4),"",Daten!B4)</f>
        <v>Pinchar2</v>
      </c>
    </row>
    <row r="5" spans="1:256" ht="15" customHeight="1" x14ac:dyDescent="0.35">
      <c r="A5" s="173" t="s">
        <v>5</v>
      </c>
      <c r="J5" s="226" t="s">
        <v>6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1"/>
      <c r="V5" s="3"/>
      <c r="W5" s="4" t="s">
        <v>7</v>
      </c>
      <c r="X5" s="120"/>
      <c r="AG5" s="130"/>
      <c r="AM5" s="13"/>
      <c r="AN5" s="13"/>
      <c r="AZ5" s="130"/>
      <c r="BT5" s="111"/>
      <c r="CE5" s="171"/>
      <c r="CF5" s="171"/>
      <c r="EF5" s="130"/>
      <c r="EG5" s="130"/>
      <c r="EH5" s="130"/>
      <c r="EI5" s="130"/>
      <c r="EJ5" s="130"/>
      <c r="EK5" s="130"/>
      <c r="EL5" s="130"/>
      <c r="EM5" s="130"/>
      <c r="EN5" s="130"/>
      <c r="EO5" s="130"/>
      <c r="EP5" s="130"/>
      <c r="EQ5" s="130"/>
      <c r="ER5" s="130"/>
      <c r="ES5" s="130"/>
      <c r="ET5" s="130"/>
      <c r="EU5" s="130"/>
      <c r="EV5" s="130"/>
      <c r="EW5" s="130"/>
      <c r="EX5" s="130"/>
      <c r="EY5" s="130"/>
      <c r="EZ5" s="130"/>
      <c r="FA5" s="130"/>
      <c r="FB5" s="130"/>
      <c r="FC5" s="130"/>
      <c r="FD5" s="130"/>
      <c r="FE5" s="130"/>
      <c r="FF5" s="130"/>
      <c r="FG5" s="130"/>
      <c r="FH5" s="130"/>
      <c r="FI5" s="130"/>
      <c r="FJ5" s="130"/>
      <c r="FK5" s="130"/>
      <c r="FL5" s="130"/>
      <c r="FM5" s="130"/>
      <c r="FN5" s="130"/>
      <c r="FO5" s="130"/>
      <c r="FP5" s="130"/>
      <c r="FQ5" s="130"/>
      <c r="FR5" s="130"/>
      <c r="FS5" s="130"/>
      <c r="FT5" s="130"/>
      <c r="FU5" s="131"/>
      <c r="FV5" s="131"/>
      <c r="FW5" s="131"/>
      <c r="FX5" s="131"/>
      <c r="FY5" s="131"/>
      <c r="FZ5" s="131"/>
      <c r="GA5" s="131"/>
      <c r="IS5" s="173"/>
      <c r="IT5" s="134"/>
      <c r="IU5" s="173" t="str">
        <f>IF(ISBLANK(Daten!A5),"",Daten!A5)</f>
        <v>Senke (Komponente)</v>
      </c>
      <c r="IV5" s="173" t="str">
        <f>IF(ISBLANK(Daten!B5),"",Daten!B5)</f>
        <v>Pinchar3</v>
      </c>
    </row>
    <row r="6" spans="1:256" ht="15" customHeight="1" thickBot="1" x14ac:dyDescent="0.3">
      <c r="A6" s="3"/>
      <c r="BT6" s="112"/>
      <c r="IS6" s="173"/>
      <c r="IT6" s="134"/>
      <c r="IU6" s="173" t="str">
        <f>IF(ISBLANK(Daten!A6),"",Daten!A6)</f>
        <v>Signal (CAN, Messein/-ausgang)</v>
      </c>
      <c r="IV6" s="173" t="str">
        <f>IF(ISBLANK(Daten!B6),"",Daten!B6)</f>
        <v>Pinchar4</v>
      </c>
    </row>
    <row r="7" spans="1:256" ht="14.25" customHeight="1" thickBot="1" x14ac:dyDescent="0.3">
      <c r="A7" s="173" t="s">
        <v>8</v>
      </c>
      <c r="J7" s="291"/>
      <c r="K7" s="191"/>
      <c r="L7" s="191"/>
      <c r="M7" s="191"/>
      <c r="N7" s="191"/>
      <c r="O7" s="191"/>
      <c r="P7" s="191"/>
      <c r="Q7" s="191"/>
      <c r="R7" s="192"/>
      <c r="W7" s="173" t="s">
        <v>9</v>
      </c>
      <c r="AA7" s="5"/>
      <c r="AB7" s="5"/>
      <c r="AE7" s="193" t="s">
        <v>10</v>
      </c>
      <c r="AF7" s="188"/>
      <c r="AG7" s="188"/>
      <c r="AH7" s="188"/>
      <c r="AI7" s="188"/>
      <c r="AJ7" s="188"/>
      <c r="AK7" s="188"/>
      <c r="AL7" s="188"/>
      <c r="AM7" s="188"/>
      <c r="AN7" s="188"/>
      <c r="AO7" s="188"/>
      <c r="AP7" s="188"/>
      <c r="AQ7" s="188"/>
      <c r="AR7" s="188"/>
      <c r="AS7" s="188"/>
      <c r="AT7" s="188"/>
      <c r="AU7" s="188"/>
      <c r="AV7" s="188"/>
      <c r="AW7" s="188"/>
      <c r="AX7" s="194"/>
      <c r="BC7" s="173" t="s">
        <v>11</v>
      </c>
      <c r="BO7" s="229" t="s">
        <v>12</v>
      </c>
      <c r="BP7" s="230"/>
      <c r="BQ7" s="230"/>
      <c r="BR7" s="231"/>
      <c r="BT7" s="123"/>
      <c r="IS7" s="134"/>
      <c r="IT7" s="134"/>
      <c r="IU7" s="173" t="str">
        <f>IF(ISBLANK(Daten!A7),"",Daten!A7)</f>
        <v>Schaltkontakt (Relais/Schalter)</v>
      </c>
      <c r="IV7" s="173" t="str">
        <f>IF(ISBLANK(Daten!B7),"",Daten!B7)</f>
        <v>Pinchar6</v>
      </c>
    </row>
    <row r="8" spans="1:256" ht="14.4" customHeight="1" x14ac:dyDescent="0.25">
      <c r="IS8" s="134"/>
      <c r="IT8" s="134"/>
      <c r="IU8" s="173" t="str">
        <f>IF(ISBLANK(Daten!A8),"",Daten!A8)</f>
        <v>Spule (Ansteuerung)</v>
      </c>
      <c r="IV8" s="173" t="str">
        <f>IF(ISBLANK(Daten!B8),"",Daten!B8)</f>
        <v>Pinchar7</v>
      </c>
    </row>
    <row r="9" spans="1:256" ht="14.25" customHeight="1" x14ac:dyDescent="0.25">
      <c r="A9" s="170" t="s">
        <v>13</v>
      </c>
      <c r="Q9" s="238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40"/>
      <c r="AG9" s="170" t="s">
        <v>14</v>
      </c>
      <c r="AR9" s="298"/>
      <c r="AS9" s="191"/>
      <c r="AT9" s="191"/>
      <c r="AU9" s="191"/>
      <c r="AV9" s="191"/>
      <c r="AW9" s="191"/>
      <c r="AX9" s="192"/>
      <c r="BC9" s="173" t="s">
        <v>15</v>
      </c>
      <c r="BF9" s="208" t="s">
        <v>16</v>
      </c>
      <c r="BG9" s="180"/>
      <c r="BH9" s="181"/>
      <c r="BJ9" s="173" t="s">
        <v>17</v>
      </c>
      <c r="BP9" s="243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5"/>
      <c r="IS9" s="134"/>
      <c r="IT9" s="134"/>
      <c r="IU9" s="173" t="str">
        <f>IF(ISBLANK(Daten!A9),"",Daten!A9)</f>
        <v>Nicht verbunden</v>
      </c>
      <c r="IV9" s="173" t="str">
        <f>IF(ISBLANK(Daten!B9),"",Daten!B9)</f>
        <v>Pinchar5</v>
      </c>
    </row>
    <row r="10" spans="1:256" ht="15" customHeight="1" thickBo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IS10" s="134"/>
      <c r="IT10" s="134"/>
      <c r="IU10" s="173" t="str">
        <f>IF(ISBLANK(Daten!A10),"",Daten!A10)</f>
        <v/>
      </c>
      <c r="IV10" s="173" t="str">
        <f>IF(ISBLANK(Daten!B10),"",Daten!B10)</f>
        <v/>
      </c>
    </row>
    <row r="11" spans="1:256" ht="14.4" customHeight="1" x14ac:dyDescent="0.25">
      <c r="A11" s="113"/>
      <c r="L11" s="170"/>
      <c r="N11" s="171"/>
      <c r="T11" s="171"/>
      <c r="Z11" s="171"/>
      <c r="AH11" s="171"/>
      <c r="AU11" s="171"/>
      <c r="BC11" s="173"/>
      <c r="IS11" s="134"/>
      <c r="IT11" s="134"/>
      <c r="IU11" s="173" t="str">
        <f>IF(ISBLANK(Daten!A11),"",Daten!A11)</f>
        <v/>
      </c>
      <c r="IV11" s="173" t="str">
        <f>IF(ISBLANK(Daten!B11),"",Daten!B11)</f>
        <v/>
      </c>
    </row>
    <row r="12" spans="1:256" ht="23.25" customHeight="1" x14ac:dyDescent="0.25">
      <c r="N12" s="118"/>
      <c r="O12" s="119"/>
      <c r="P12" s="119"/>
      <c r="Q12" s="171"/>
      <c r="T12" s="132"/>
      <c r="U12" s="132"/>
      <c r="V12" s="120"/>
      <c r="AC12" s="171"/>
      <c r="AG12" s="130"/>
      <c r="AU12" s="142"/>
      <c r="BC12" s="173"/>
      <c r="BD12" s="173"/>
      <c r="BE12" s="173"/>
      <c r="BF12" s="173"/>
      <c r="BG12" s="173"/>
      <c r="BH12" s="173"/>
      <c r="BI12" s="173"/>
      <c r="BJ12" s="173"/>
      <c r="BK12" s="173"/>
      <c r="BL12" s="173"/>
      <c r="IS12" s="134"/>
      <c r="IT12" s="134"/>
      <c r="IU12" s="173" t="str">
        <f>IF(ISBLANK(Daten!A12),"",Daten!A12)</f>
        <v/>
      </c>
      <c r="IV12" s="173" t="str">
        <f>IF(ISBLANK(Daten!B12),"",Daten!B12)</f>
        <v/>
      </c>
    </row>
    <row r="13" spans="1:256" ht="23.25" customHeight="1" thickBot="1" x14ac:dyDescent="0.3">
      <c r="N13" s="118"/>
      <c r="O13" s="119"/>
      <c r="P13" s="119"/>
      <c r="Q13" s="171"/>
      <c r="T13" s="132"/>
      <c r="U13" s="132"/>
      <c r="V13" s="120"/>
      <c r="AC13" s="171"/>
      <c r="AG13" s="130"/>
      <c r="AU13" s="142"/>
      <c r="AV13" s="171" t="s">
        <v>18</v>
      </c>
      <c r="BG13" s="142"/>
      <c r="BQ13" s="142"/>
      <c r="BY13"/>
      <c r="IS13" s="134"/>
      <c r="IT13" s="134"/>
      <c r="IU13" s="173" t="str">
        <f>IF(ISBLANK(Daten!A13),"",Daten!A13)</f>
        <v/>
      </c>
      <c r="IV13" s="173" t="str">
        <f>IF(ISBLANK(Daten!B13),"",Daten!B13)</f>
        <v/>
      </c>
    </row>
    <row r="14" spans="1:256" ht="15" customHeight="1" thickBot="1" x14ac:dyDescent="0.3">
      <c r="B14" s="173" t="s">
        <v>19</v>
      </c>
      <c r="K14" s="112" t="s">
        <v>20</v>
      </c>
      <c r="O14" s="130"/>
      <c r="S14" s="16"/>
      <c r="T14" s="16"/>
      <c r="U14" s="16"/>
      <c r="W14" s="171"/>
      <c r="X14" s="253">
        <v>1</v>
      </c>
      <c r="Y14" s="254"/>
      <c r="Z14" s="255"/>
      <c r="AB14" s="251" t="s">
        <v>21</v>
      </c>
      <c r="AC14" s="206"/>
      <c r="AD14" s="207"/>
      <c r="AG14" s="112" t="s">
        <v>22</v>
      </c>
      <c r="AQ14" s="140"/>
      <c r="AR14" s="253">
        <v>4</v>
      </c>
      <c r="AS14" s="254"/>
      <c r="AT14" s="255"/>
      <c r="AV14" s="267" t="s">
        <v>23</v>
      </c>
      <c r="AW14" s="268"/>
      <c r="AX14" s="269"/>
      <c r="IS14" s="134"/>
      <c r="IT14" s="134"/>
      <c r="IU14" s="173" t="str">
        <f>IF(ISBLANK(Daten!A14),"",Daten!A14)</f>
        <v/>
      </c>
      <c r="IV14" s="173" t="str">
        <f>IF(ISBLANK(Daten!B14),"",Daten!B14)</f>
        <v/>
      </c>
    </row>
    <row r="15" spans="1:256" ht="16.5" customHeight="1" x14ac:dyDescent="0.25">
      <c r="A15" s="7"/>
      <c r="C15" s="173"/>
      <c r="D15" s="173"/>
      <c r="S15" s="171"/>
      <c r="T15" s="16"/>
      <c r="U15" s="16"/>
      <c r="W15" s="171"/>
      <c r="AI15" s="1"/>
      <c r="AJ15" s="1"/>
      <c r="AK15" s="1"/>
      <c r="AV15" s="294" t="s">
        <v>21</v>
      </c>
      <c r="AW15" s="295"/>
      <c r="AX15" s="296"/>
      <c r="BH15" s="8"/>
      <c r="BK15" s="171"/>
      <c r="BZ15" s="237" t="s">
        <v>24</v>
      </c>
      <c r="CA15" s="202"/>
      <c r="CB15" s="202"/>
      <c r="CC15" s="202"/>
      <c r="CD15" s="202"/>
      <c r="CE15" s="202"/>
      <c r="CF15" s="202"/>
      <c r="CG15" s="202"/>
      <c r="CH15" s="202"/>
      <c r="CI15" s="202"/>
      <c r="CJ15" s="202"/>
      <c r="CK15" s="202"/>
      <c r="CL15" s="202"/>
      <c r="CM15" s="202"/>
      <c r="CN15" s="202"/>
      <c r="CO15" s="202"/>
      <c r="CP15" s="202"/>
      <c r="CQ15" s="202"/>
      <c r="CR15" s="202"/>
      <c r="CS15" s="202"/>
      <c r="CT15" s="202"/>
      <c r="IS15" s="134"/>
      <c r="IT15" s="134"/>
      <c r="IU15" s="173" t="str">
        <f>IF(ISBLANK(Daten!A15),"",Daten!A15)</f>
        <v/>
      </c>
      <c r="IV15" s="173" t="str">
        <f>IF(ISBLANK(Daten!B15),"",Daten!B15)</f>
        <v/>
      </c>
    </row>
    <row r="16" spans="1:256" s="170" customFormat="1" ht="21" customHeight="1" thickBot="1" x14ac:dyDescent="0.3">
      <c r="A16" s="127"/>
      <c r="B16" s="177" t="s">
        <v>25</v>
      </c>
      <c r="C16" s="178"/>
      <c r="D16" s="178"/>
      <c r="E16" s="178"/>
      <c r="F16" s="178"/>
      <c r="G16" s="177" t="s">
        <v>26</v>
      </c>
      <c r="H16" s="178"/>
      <c r="I16" s="178"/>
      <c r="J16" s="177" t="s">
        <v>27</v>
      </c>
      <c r="K16" s="178"/>
      <c r="L16" s="178"/>
      <c r="M16" s="178"/>
      <c r="N16" s="178"/>
      <c r="O16" s="177" t="s">
        <v>28</v>
      </c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33"/>
      <c r="AH16" s="288" t="s">
        <v>29</v>
      </c>
      <c r="AI16" s="289"/>
      <c r="AJ16" s="289"/>
      <c r="AK16" s="289"/>
      <c r="AL16" s="289"/>
      <c r="AM16" s="289"/>
      <c r="AN16" s="289"/>
      <c r="AO16" s="242" t="s">
        <v>30</v>
      </c>
      <c r="AP16" s="178"/>
      <c r="AQ16" s="178"/>
      <c r="AR16" s="178"/>
      <c r="AS16" s="178"/>
      <c r="AT16" s="178"/>
      <c r="AU16" s="178"/>
      <c r="AV16" s="241" t="s">
        <v>31</v>
      </c>
      <c r="AW16" s="178"/>
      <c r="AX16" s="178"/>
      <c r="AY16" s="178"/>
      <c r="AZ16" s="178" t="s">
        <v>32</v>
      </c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 t="s">
        <v>33</v>
      </c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 t="s">
        <v>34</v>
      </c>
      <c r="CA16" s="178"/>
      <c r="CB16" s="178"/>
      <c r="CC16" s="178"/>
      <c r="CD16" s="178"/>
      <c r="CE16" s="178"/>
      <c r="CF16" s="178"/>
      <c r="CG16" s="178" t="s">
        <v>35</v>
      </c>
      <c r="CH16" s="178"/>
      <c r="CI16" s="178"/>
      <c r="CJ16" s="178"/>
      <c r="CK16" s="178"/>
      <c r="CL16" s="178"/>
      <c r="CM16" s="178"/>
      <c r="CN16" s="178" t="s">
        <v>36</v>
      </c>
      <c r="CO16" s="178"/>
      <c r="CP16" s="178"/>
      <c r="CQ16" s="178"/>
      <c r="CR16" s="178"/>
      <c r="CS16" s="178"/>
      <c r="CT16" s="178"/>
      <c r="CU16" s="178" t="s">
        <v>37</v>
      </c>
      <c r="CV16" s="178"/>
      <c r="CW16" s="178"/>
      <c r="CX16" s="178"/>
      <c r="CY16" s="178"/>
      <c r="CZ16" s="178"/>
      <c r="DA16" s="178"/>
      <c r="DB16" s="178" t="s">
        <v>38</v>
      </c>
      <c r="DC16" s="178"/>
      <c r="DD16" s="178"/>
      <c r="DE16" s="178"/>
      <c r="DF16" s="178"/>
      <c r="DG16" s="178"/>
      <c r="DH16" s="178"/>
      <c r="DI16" s="178" t="s">
        <v>39</v>
      </c>
      <c r="DJ16" s="178"/>
      <c r="DK16" s="178"/>
      <c r="DL16" s="178"/>
      <c r="DM16" s="178"/>
      <c r="DN16" s="178"/>
      <c r="DO16" s="178"/>
      <c r="DP16" s="178" t="s">
        <v>40</v>
      </c>
      <c r="DQ16" s="178"/>
      <c r="DR16" s="178"/>
      <c r="DS16" s="178"/>
      <c r="DT16" s="178"/>
      <c r="DU16" s="178"/>
      <c r="DV16" s="178"/>
      <c r="DW16" s="178" t="s">
        <v>41</v>
      </c>
      <c r="DX16" s="178"/>
      <c r="DY16" s="178"/>
      <c r="DZ16" s="178"/>
      <c r="EA16" s="178"/>
      <c r="EB16" s="178"/>
      <c r="EC16" s="178"/>
      <c r="ED16" s="266" t="s">
        <v>42</v>
      </c>
      <c r="EE16" s="200"/>
      <c r="EF16" s="248" t="s">
        <v>43</v>
      </c>
      <c r="EG16" s="199"/>
      <c r="EH16" s="200"/>
      <c r="EI16" s="211" t="s">
        <v>44</v>
      </c>
      <c r="EJ16" s="199"/>
      <c r="EK16" s="199"/>
      <c r="EL16" s="200"/>
      <c r="EM16" s="211" t="s">
        <v>45</v>
      </c>
      <c r="EN16" s="199"/>
      <c r="EO16" s="199"/>
      <c r="EP16" s="199"/>
      <c r="EQ16" s="199"/>
      <c r="ER16" s="199"/>
      <c r="ES16" s="199"/>
      <c r="ET16" s="199"/>
      <c r="EU16" s="200"/>
      <c r="EV16" s="211" t="s">
        <v>46</v>
      </c>
      <c r="EW16" s="199"/>
      <c r="EX16" s="199"/>
      <c r="EY16" s="199"/>
      <c r="EZ16" s="199"/>
      <c r="FA16" s="200"/>
      <c r="FB16" s="211" t="s">
        <v>47</v>
      </c>
      <c r="FC16" s="199"/>
      <c r="FD16" s="199"/>
      <c r="FE16" s="199"/>
      <c r="FF16" s="200"/>
      <c r="FG16" s="211" t="s">
        <v>48</v>
      </c>
      <c r="FH16" s="199"/>
      <c r="FI16" s="199"/>
      <c r="FJ16" s="200"/>
      <c r="FK16" s="211" t="s">
        <v>49</v>
      </c>
      <c r="FL16" s="199"/>
      <c r="FM16" s="199"/>
      <c r="FN16" s="200"/>
      <c r="FO16" s="287" t="s">
        <v>50</v>
      </c>
      <c r="FP16" s="178"/>
      <c r="FQ16" s="178"/>
      <c r="FR16" s="178"/>
      <c r="FS16" s="178"/>
      <c r="FT16" s="198" t="s">
        <v>51</v>
      </c>
      <c r="FU16" s="199"/>
      <c r="FV16" s="199"/>
      <c r="FW16" s="199"/>
      <c r="FX16" s="199"/>
      <c r="FY16" s="199"/>
      <c r="FZ16" s="200"/>
      <c r="GA16" s="232" t="s">
        <v>52</v>
      </c>
      <c r="GB16" s="233"/>
      <c r="GC16" s="233"/>
      <c r="GD16" s="233"/>
      <c r="GE16" s="233"/>
      <c r="GF16" s="233"/>
      <c r="GG16" s="233"/>
      <c r="GH16" s="233"/>
      <c r="GI16" s="233"/>
      <c r="GJ16" s="233"/>
      <c r="GK16" s="233"/>
      <c r="GL16" s="233"/>
      <c r="GM16" s="233"/>
      <c r="GN16" s="233"/>
      <c r="GO16" s="233"/>
      <c r="GP16" s="233"/>
      <c r="GQ16" s="233"/>
      <c r="GR16" s="233"/>
      <c r="GS16" s="233"/>
      <c r="GT16" s="233"/>
      <c r="GU16" s="233"/>
      <c r="GV16" s="233"/>
      <c r="GW16" s="233"/>
      <c r="GX16" s="233"/>
      <c r="GY16" s="233"/>
      <c r="GZ16" s="233"/>
      <c r="HA16" s="233"/>
      <c r="HB16" s="233"/>
      <c r="HC16" s="233"/>
      <c r="HD16" s="233"/>
      <c r="HE16" s="233"/>
      <c r="HF16" s="233"/>
      <c r="HG16" s="233"/>
      <c r="HH16" s="233"/>
      <c r="HI16" s="233"/>
      <c r="HJ16" s="233"/>
      <c r="HK16" s="233"/>
      <c r="HL16" s="233"/>
      <c r="HM16" s="233"/>
      <c r="HN16" s="233"/>
      <c r="HO16" s="233"/>
      <c r="HP16" s="233"/>
      <c r="HQ16" s="233"/>
      <c r="HR16" s="280" t="s">
        <v>53</v>
      </c>
      <c r="HS16" s="178"/>
      <c r="HT16" s="178"/>
      <c r="HU16" s="178"/>
      <c r="HV16" s="178"/>
      <c r="HW16" s="114"/>
      <c r="IS16" s="134"/>
      <c r="IT16" s="134"/>
      <c r="IU16" s="173" t="str">
        <f>IF(ISBLANK(Daten!A17),"",Daten!A17)</f>
        <v/>
      </c>
      <c r="IV16" s="173" t="str">
        <f>IF(ISBLANK(Daten!B17),"",Daten!B17)</f>
        <v/>
      </c>
    </row>
    <row r="17" spans="1:256" ht="13.8" customHeight="1" thickBot="1" x14ac:dyDescent="0.3">
      <c r="B17" s="195" t="s">
        <v>54</v>
      </c>
      <c r="C17" s="180"/>
      <c r="D17" s="180"/>
      <c r="E17" s="180"/>
      <c r="F17" s="180"/>
      <c r="G17" s="252">
        <v>1</v>
      </c>
      <c r="H17" s="180"/>
      <c r="I17" s="219"/>
      <c r="J17" s="220" t="s">
        <v>55</v>
      </c>
      <c r="K17" s="180"/>
      <c r="L17" s="180"/>
      <c r="M17" s="180"/>
      <c r="N17" s="219"/>
      <c r="O17" s="218" t="s">
        <v>56</v>
      </c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219"/>
      <c r="AG17" s="167">
        <v>1138</v>
      </c>
      <c r="AH17" s="212"/>
      <c r="AI17" s="206"/>
      <c r="AJ17" s="206"/>
      <c r="AK17" s="206"/>
      <c r="AL17" s="206"/>
      <c r="AM17" s="206"/>
      <c r="AN17" s="207"/>
      <c r="AO17" s="205" t="s">
        <v>57</v>
      </c>
      <c r="AP17" s="206"/>
      <c r="AQ17" s="206"/>
      <c r="AR17" s="206"/>
      <c r="AS17" s="206"/>
      <c r="AT17" s="206"/>
      <c r="AU17" s="207"/>
      <c r="AV17" s="225" t="s">
        <v>58</v>
      </c>
      <c r="AW17" s="180"/>
      <c r="AX17" s="180"/>
      <c r="AY17" s="181"/>
      <c r="AZ17" s="187" t="s">
        <v>59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  <c r="BK17" s="188"/>
      <c r="BL17" s="189"/>
      <c r="BM17" s="282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9"/>
      <c r="BZ17" s="227">
        <v>7.6200000000000004E-2</v>
      </c>
      <c r="CA17" s="180"/>
      <c r="CB17" s="180"/>
      <c r="CC17" s="180"/>
      <c r="CD17" s="180"/>
      <c r="CE17" s="180"/>
      <c r="CF17" s="181"/>
      <c r="CG17" s="227">
        <v>0.1217</v>
      </c>
      <c r="CH17" s="180"/>
      <c r="CI17" s="180"/>
      <c r="CJ17" s="180"/>
      <c r="CK17" s="180"/>
      <c r="CL17" s="180"/>
      <c r="CM17" s="181"/>
      <c r="CN17" s="227">
        <v>5.95</v>
      </c>
      <c r="CO17" s="180"/>
      <c r="CP17" s="180"/>
      <c r="CQ17" s="180"/>
      <c r="CR17" s="180"/>
      <c r="CS17" s="180"/>
      <c r="CT17" s="181"/>
      <c r="CU17" s="190">
        <v>3.4599999999999999E-2</v>
      </c>
      <c r="CV17" s="191"/>
      <c r="CW17" s="191"/>
      <c r="CX17" s="191"/>
      <c r="CY17" s="191"/>
      <c r="CZ17" s="191"/>
      <c r="DA17" s="192"/>
      <c r="DB17" s="270"/>
      <c r="DC17" s="191"/>
      <c r="DD17" s="191"/>
      <c r="DE17" s="191"/>
      <c r="DF17" s="191"/>
      <c r="DG17" s="191"/>
      <c r="DH17" s="192"/>
      <c r="DI17" s="224">
        <v>2.33E-4</v>
      </c>
      <c r="DJ17" s="191"/>
      <c r="DK17" s="191"/>
      <c r="DL17" s="191"/>
      <c r="DM17" s="191"/>
      <c r="DN17" s="191"/>
      <c r="DO17" s="192"/>
      <c r="DP17" s="224">
        <v>1.18E-4</v>
      </c>
      <c r="DQ17" s="191"/>
      <c r="DR17" s="191"/>
      <c r="DS17" s="191"/>
      <c r="DT17" s="191"/>
      <c r="DU17" s="191"/>
      <c r="DV17" s="192"/>
      <c r="DW17" s="203"/>
      <c r="DX17" s="191"/>
      <c r="DY17" s="191"/>
      <c r="DZ17" s="191"/>
      <c r="EA17" s="191"/>
      <c r="EB17" s="191"/>
      <c r="EC17" s="191"/>
      <c r="ED17" s="204" t="str">
        <f>CONCATENATE(B17,G17)</f>
        <v>A1</v>
      </c>
      <c r="EE17" s="186"/>
      <c r="EF17" s="250"/>
      <c r="EG17" s="185"/>
      <c r="EH17" s="186"/>
      <c r="EI17" s="236"/>
      <c r="EJ17" s="185"/>
      <c r="EK17" s="185"/>
      <c r="EL17" s="186"/>
      <c r="EM17" s="236" t="s">
        <v>60</v>
      </c>
      <c r="EN17" s="185"/>
      <c r="EO17" s="185"/>
      <c r="EP17" s="185"/>
      <c r="EQ17" s="185"/>
      <c r="ER17" s="185"/>
      <c r="ES17" s="185"/>
      <c r="ET17" s="185"/>
      <c r="EU17" s="186"/>
      <c r="EV17" s="236"/>
      <c r="EW17" s="185"/>
      <c r="EX17" s="185"/>
      <c r="EY17" s="185"/>
      <c r="EZ17" s="185"/>
      <c r="FA17" s="186"/>
      <c r="FB17" s="234" t="s">
        <v>61</v>
      </c>
      <c r="FC17" s="185"/>
      <c r="FD17" s="185"/>
      <c r="FE17" s="185"/>
      <c r="FF17" s="186"/>
      <c r="FG17" s="184" t="s">
        <v>62</v>
      </c>
      <c r="FH17" s="185"/>
      <c r="FI17" s="185"/>
      <c r="FJ17" s="186"/>
      <c r="FK17" s="184" t="s">
        <v>63</v>
      </c>
      <c r="FL17" s="185"/>
      <c r="FM17" s="185"/>
      <c r="FN17" s="186"/>
      <c r="FO17" s="209" t="s">
        <v>64</v>
      </c>
      <c r="FP17" s="185"/>
      <c r="FQ17" s="185"/>
      <c r="FR17" s="185"/>
      <c r="FS17" s="186"/>
      <c r="FT17" s="184" t="s">
        <v>65</v>
      </c>
      <c r="FU17" s="185"/>
      <c r="FV17" s="185"/>
      <c r="FW17" s="185"/>
      <c r="FX17" s="185"/>
      <c r="FY17" s="185"/>
      <c r="FZ17" s="186"/>
      <c r="GA17" s="221" t="s">
        <v>66</v>
      </c>
      <c r="GB17" s="222"/>
      <c r="GC17" s="222"/>
      <c r="GD17" s="222"/>
      <c r="GE17" s="222"/>
      <c r="GF17" s="222"/>
      <c r="GG17" s="222"/>
      <c r="GH17" s="222"/>
      <c r="GI17" s="222"/>
      <c r="GJ17" s="222"/>
      <c r="GK17" s="222"/>
      <c r="GL17" s="222"/>
      <c r="GM17" s="222"/>
      <c r="GN17" s="222"/>
      <c r="GO17" s="222"/>
      <c r="GP17" s="222"/>
      <c r="GQ17" s="222"/>
      <c r="GR17" s="222"/>
      <c r="GS17" s="222"/>
      <c r="GT17" s="222"/>
      <c r="GU17" s="222"/>
      <c r="GV17" s="222"/>
      <c r="GW17" s="222"/>
      <c r="GX17" s="222"/>
      <c r="GY17" s="222"/>
      <c r="GZ17" s="222"/>
      <c r="HA17" s="222"/>
      <c r="HB17" s="222"/>
      <c r="HC17" s="222"/>
      <c r="HD17" s="222"/>
      <c r="HE17" s="222"/>
      <c r="HF17" s="222"/>
      <c r="HG17" s="222"/>
      <c r="HH17" s="222"/>
      <c r="HI17" s="222"/>
      <c r="HJ17" s="222"/>
      <c r="HK17" s="222"/>
      <c r="HL17" s="222"/>
      <c r="HM17" s="222"/>
      <c r="HN17" s="222"/>
      <c r="HO17" s="222"/>
      <c r="HP17" s="222"/>
      <c r="HQ17" s="223"/>
      <c r="HR17" s="247" t="s">
        <v>67</v>
      </c>
      <c r="HS17" s="185"/>
      <c r="HT17" s="185"/>
      <c r="HU17" s="185"/>
      <c r="HV17" s="186"/>
    </row>
    <row r="18" spans="1:256" ht="13.8" customHeight="1" thickBot="1" x14ac:dyDescent="0.3">
      <c r="B18" s="195" t="s">
        <v>54</v>
      </c>
      <c r="C18" s="180"/>
      <c r="D18" s="180"/>
      <c r="E18" s="180"/>
      <c r="F18" s="180"/>
      <c r="G18" s="252">
        <v>2</v>
      </c>
      <c r="H18" s="180"/>
      <c r="I18" s="219"/>
      <c r="J18" s="220" t="s">
        <v>55</v>
      </c>
      <c r="K18" s="180"/>
      <c r="L18" s="180"/>
      <c r="M18" s="180"/>
      <c r="N18" s="219"/>
      <c r="O18" s="218" t="s">
        <v>68</v>
      </c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219"/>
      <c r="AG18" s="167">
        <v>1138</v>
      </c>
      <c r="AH18" s="212"/>
      <c r="AI18" s="206"/>
      <c r="AJ18" s="206"/>
      <c r="AK18" s="206"/>
      <c r="AL18" s="206"/>
      <c r="AM18" s="206"/>
      <c r="AN18" s="207"/>
      <c r="AO18" s="205" t="s">
        <v>57</v>
      </c>
      <c r="AP18" s="206"/>
      <c r="AQ18" s="206"/>
      <c r="AR18" s="206"/>
      <c r="AS18" s="206"/>
      <c r="AT18" s="206"/>
      <c r="AU18" s="207"/>
      <c r="AV18" s="225" t="s">
        <v>58</v>
      </c>
      <c r="AW18" s="180"/>
      <c r="AX18" s="180"/>
      <c r="AY18" s="181"/>
      <c r="AZ18" s="187" t="s">
        <v>59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  <c r="BK18" s="188"/>
      <c r="BL18" s="189"/>
      <c r="BM18" s="282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9"/>
      <c r="BZ18" s="227">
        <v>7.6200000000000004E-2</v>
      </c>
      <c r="CA18" s="180"/>
      <c r="CB18" s="180"/>
      <c r="CC18" s="180"/>
      <c r="CD18" s="180"/>
      <c r="CE18" s="180"/>
      <c r="CF18" s="181"/>
      <c r="CG18" s="227">
        <v>0.1217</v>
      </c>
      <c r="CH18" s="180"/>
      <c r="CI18" s="180"/>
      <c r="CJ18" s="180"/>
      <c r="CK18" s="180"/>
      <c r="CL18" s="180"/>
      <c r="CM18" s="181"/>
      <c r="CN18" s="227">
        <v>5.95</v>
      </c>
      <c r="CO18" s="180"/>
      <c r="CP18" s="180"/>
      <c r="CQ18" s="180"/>
      <c r="CR18" s="180"/>
      <c r="CS18" s="180"/>
      <c r="CT18" s="181"/>
      <c r="CU18" s="190">
        <v>3.4599999999999999E-2</v>
      </c>
      <c r="CV18" s="191"/>
      <c r="CW18" s="191"/>
      <c r="CX18" s="191"/>
      <c r="CY18" s="191"/>
      <c r="CZ18" s="191"/>
      <c r="DA18" s="192"/>
      <c r="DB18" s="270"/>
      <c r="DC18" s="191"/>
      <c r="DD18" s="191"/>
      <c r="DE18" s="191"/>
      <c r="DF18" s="191"/>
      <c r="DG18" s="191"/>
      <c r="DH18" s="192"/>
      <c r="DI18" s="224">
        <v>2.33E-4</v>
      </c>
      <c r="DJ18" s="191"/>
      <c r="DK18" s="191"/>
      <c r="DL18" s="191"/>
      <c r="DM18" s="191"/>
      <c r="DN18" s="191"/>
      <c r="DO18" s="192"/>
      <c r="DP18" s="224">
        <v>1.18E-4</v>
      </c>
      <c r="DQ18" s="191"/>
      <c r="DR18" s="191"/>
      <c r="DS18" s="191"/>
      <c r="DT18" s="191"/>
      <c r="DU18" s="191"/>
      <c r="DV18" s="192"/>
      <c r="DW18" s="203"/>
      <c r="DX18" s="191"/>
      <c r="DY18" s="191"/>
      <c r="DZ18" s="191"/>
      <c r="EA18" s="191"/>
      <c r="EB18" s="191"/>
      <c r="EC18" s="191"/>
      <c r="ED18" s="204" t="str">
        <f>CONCATENATE(B18,G18)</f>
        <v>A2</v>
      </c>
      <c r="EE18" s="186"/>
      <c r="EF18" s="250"/>
      <c r="EG18" s="185"/>
      <c r="EH18" s="186"/>
      <c r="EI18" s="236"/>
      <c r="EJ18" s="185"/>
      <c r="EK18" s="185"/>
      <c r="EL18" s="186"/>
      <c r="EM18" s="236" t="s">
        <v>60</v>
      </c>
      <c r="EN18" s="185"/>
      <c r="EO18" s="185"/>
      <c r="EP18" s="185"/>
      <c r="EQ18" s="185"/>
      <c r="ER18" s="185"/>
      <c r="ES18" s="185"/>
      <c r="ET18" s="185"/>
      <c r="EU18" s="186"/>
      <c r="EV18" s="236"/>
      <c r="EW18" s="185"/>
      <c r="EX18" s="185"/>
      <c r="EY18" s="185"/>
      <c r="EZ18" s="185"/>
      <c r="FA18" s="186"/>
      <c r="FB18" s="234" t="s">
        <v>61</v>
      </c>
      <c r="FC18" s="185"/>
      <c r="FD18" s="185"/>
      <c r="FE18" s="185"/>
      <c r="FF18" s="186"/>
      <c r="FG18" s="184" t="s">
        <v>62</v>
      </c>
      <c r="FH18" s="185"/>
      <c r="FI18" s="185"/>
      <c r="FJ18" s="186"/>
      <c r="FK18" s="184" t="s">
        <v>63</v>
      </c>
      <c r="FL18" s="185"/>
      <c r="FM18" s="185"/>
      <c r="FN18" s="186"/>
      <c r="FO18" s="209" t="s">
        <v>64</v>
      </c>
      <c r="FP18" s="185"/>
      <c r="FQ18" s="185"/>
      <c r="FR18" s="185"/>
      <c r="FS18" s="186"/>
      <c r="FT18" s="184" t="s">
        <v>65</v>
      </c>
      <c r="FU18" s="185"/>
      <c r="FV18" s="185"/>
      <c r="FW18" s="185"/>
      <c r="FX18" s="185"/>
      <c r="FY18" s="185"/>
      <c r="FZ18" s="186"/>
      <c r="GA18" s="221" t="s">
        <v>66</v>
      </c>
      <c r="GB18" s="222"/>
      <c r="GC18" s="222"/>
      <c r="GD18" s="222"/>
      <c r="GE18" s="222"/>
      <c r="GF18" s="222"/>
      <c r="GG18" s="222"/>
      <c r="GH18" s="222"/>
      <c r="GI18" s="222"/>
      <c r="GJ18" s="222"/>
      <c r="GK18" s="222"/>
      <c r="GL18" s="222"/>
      <c r="GM18" s="222"/>
      <c r="GN18" s="222"/>
      <c r="GO18" s="222"/>
      <c r="GP18" s="222"/>
      <c r="GQ18" s="222"/>
      <c r="GR18" s="222"/>
      <c r="GS18" s="222"/>
      <c r="GT18" s="222"/>
      <c r="GU18" s="222"/>
      <c r="GV18" s="222"/>
      <c r="GW18" s="222"/>
      <c r="GX18" s="222"/>
      <c r="GY18" s="222"/>
      <c r="GZ18" s="222"/>
      <c r="HA18" s="222"/>
      <c r="HB18" s="222"/>
      <c r="HC18" s="222"/>
      <c r="HD18" s="222"/>
      <c r="HE18" s="222"/>
      <c r="HF18" s="222"/>
      <c r="HG18" s="222"/>
      <c r="HH18" s="222"/>
      <c r="HI18" s="222"/>
      <c r="HJ18" s="222"/>
      <c r="HK18" s="222"/>
      <c r="HL18" s="222"/>
      <c r="HM18" s="222"/>
      <c r="HN18" s="222"/>
      <c r="HO18" s="222"/>
      <c r="HP18" s="222"/>
      <c r="HQ18" s="223"/>
      <c r="HR18" s="247" t="s">
        <v>67</v>
      </c>
      <c r="HS18" s="185"/>
      <c r="HT18" s="185"/>
      <c r="HU18" s="185"/>
      <c r="HV18" s="186"/>
    </row>
    <row r="19" spans="1:256" ht="13.8" customHeight="1" thickBot="1" x14ac:dyDescent="0.3">
      <c r="B19" s="195" t="s">
        <v>54</v>
      </c>
      <c r="C19" s="180"/>
      <c r="D19" s="180"/>
      <c r="E19" s="180"/>
      <c r="F19" s="180"/>
      <c r="G19" s="252">
        <v>3</v>
      </c>
      <c r="H19" s="180"/>
      <c r="I19" s="219"/>
      <c r="J19" s="220" t="s">
        <v>55</v>
      </c>
      <c r="K19" s="180"/>
      <c r="L19" s="180"/>
      <c r="M19" s="180"/>
      <c r="N19" s="219"/>
      <c r="O19" s="218" t="s">
        <v>69</v>
      </c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219"/>
      <c r="AG19" s="167">
        <v>749</v>
      </c>
      <c r="AH19" s="212"/>
      <c r="AI19" s="206"/>
      <c r="AJ19" s="206"/>
      <c r="AK19" s="206"/>
      <c r="AL19" s="206"/>
      <c r="AM19" s="206"/>
      <c r="AN19" s="207"/>
      <c r="AO19" s="205" t="s">
        <v>57</v>
      </c>
      <c r="AP19" s="206"/>
      <c r="AQ19" s="206"/>
      <c r="AR19" s="206"/>
      <c r="AS19" s="206"/>
      <c r="AT19" s="206"/>
      <c r="AU19" s="207"/>
      <c r="AV19" s="225" t="s">
        <v>58</v>
      </c>
      <c r="AW19" s="180"/>
      <c r="AX19" s="180"/>
      <c r="AY19" s="181"/>
      <c r="AZ19" s="187" t="s">
        <v>70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  <c r="BK19" s="188"/>
      <c r="BL19" s="189"/>
      <c r="BM19" s="282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9"/>
      <c r="BZ19" s="179">
        <v>1.0500000000000001E-2</v>
      </c>
      <c r="CA19" s="180"/>
      <c r="CB19" s="180"/>
      <c r="CC19" s="180"/>
      <c r="CD19" s="180"/>
      <c r="CE19" s="180"/>
      <c r="CF19" s="181"/>
      <c r="CG19" s="179">
        <v>5.0000000000000001E-4</v>
      </c>
      <c r="CH19" s="180"/>
      <c r="CI19" s="180"/>
      <c r="CJ19" s="180"/>
      <c r="CK19" s="180"/>
      <c r="CL19" s="180"/>
      <c r="CM19" s="181"/>
      <c r="CN19" s="271"/>
      <c r="CO19" s="180"/>
      <c r="CP19" s="180"/>
      <c r="CQ19" s="180"/>
      <c r="CR19" s="180"/>
      <c r="CS19" s="180"/>
      <c r="CT19" s="181"/>
      <c r="CU19" s="286"/>
      <c r="CV19" s="191"/>
      <c r="CW19" s="191"/>
      <c r="CX19" s="191"/>
      <c r="CY19" s="191"/>
      <c r="CZ19" s="191"/>
      <c r="DA19" s="192"/>
      <c r="DB19" s="275"/>
      <c r="DC19" s="191"/>
      <c r="DD19" s="191"/>
      <c r="DE19" s="191"/>
      <c r="DF19" s="191"/>
      <c r="DG19" s="191"/>
      <c r="DH19" s="192"/>
      <c r="DI19" s="249"/>
      <c r="DJ19" s="191"/>
      <c r="DK19" s="191"/>
      <c r="DL19" s="191"/>
      <c r="DM19" s="191"/>
      <c r="DN19" s="191"/>
      <c r="DO19" s="192"/>
      <c r="DP19" s="224"/>
      <c r="DQ19" s="191"/>
      <c r="DR19" s="191"/>
      <c r="DS19" s="191"/>
      <c r="DT19" s="191"/>
      <c r="DU19" s="191"/>
      <c r="DV19" s="192"/>
      <c r="DW19" s="285"/>
      <c r="DX19" s="191"/>
      <c r="DY19" s="191"/>
      <c r="DZ19" s="191"/>
      <c r="EA19" s="191"/>
      <c r="EB19" s="191"/>
      <c r="EC19" s="191"/>
      <c r="ED19" s="204" t="str">
        <f>CONCATENATE(B19,G19)</f>
        <v>A3</v>
      </c>
      <c r="EE19" s="186"/>
      <c r="EF19" s="250" t="s">
        <v>71</v>
      </c>
      <c r="EG19" s="185"/>
      <c r="EH19" s="186"/>
      <c r="EI19" s="236"/>
      <c r="EJ19" s="185"/>
      <c r="EK19" s="185"/>
      <c r="EL19" s="186"/>
      <c r="EM19" s="236" t="s">
        <v>72</v>
      </c>
      <c r="EN19" s="185"/>
      <c r="EO19" s="185"/>
      <c r="EP19" s="185"/>
      <c r="EQ19" s="185"/>
      <c r="ER19" s="185"/>
      <c r="ES19" s="185"/>
      <c r="ET19" s="185"/>
      <c r="EU19" s="186"/>
      <c r="EV19" s="236"/>
      <c r="EW19" s="185"/>
      <c r="EX19" s="185"/>
      <c r="EY19" s="185"/>
      <c r="EZ19" s="185"/>
      <c r="FA19" s="186"/>
      <c r="FB19" s="234" t="s">
        <v>73</v>
      </c>
      <c r="FC19" s="185"/>
      <c r="FD19" s="185"/>
      <c r="FE19" s="185"/>
      <c r="FF19" s="186"/>
      <c r="FG19" s="184" t="s">
        <v>62</v>
      </c>
      <c r="FH19" s="185"/>
      <c r="FI19" s="185"/>
      <c r="FJ19" s="186"/>
      <c r="FK19" s="184" t="s">
        <v>63</v>
      </c>
      <c r="FL19" s="185"/>
      <c r="FM19" s="185"/>
      <c r="FN19" s="186"/>
      <c r="FO19" s="209" t="s">
        <v>74</v>
      </c>
      <c r="FP19" s="185"/>
      <c r="FQ19" s="185"/>
      <c r="FR19" s="185"/>
      <c r="FS19" s="186"/>
      <c r="FT19" s="184" t="s">
        <v>63</v>
      </c>
      <c r="FU19" s="185"/>
      <c r="FV19" s="185"/>
      <c r="FW19" s="185"/>
      <c r="FX19" s="185"/>
      <c r="FY19" s="185"/>
      <c r="FZ19" s="186"/>
      <c r="GA19" s="221" t="s">
        <v>75</v>
      </c>
      <c r="GB19" s="222"/>
      <c r="GC19" s="222"/>
      <c r="GD19" s="222"/>
      <c r="GE19" s="222"/>
      <c r="GF19" s="222"/>
      <c r="GG19" s="222"/>
      <c r="GH19" s="222"/>
      <c r="GI19" s="222"/>
      <c r="GJ19" s="222"/>
      <c r="GK19" s="222"/>
      <c r="GL19" s="222"/>
      <c r="GM19" s="222"/>
      <c r="GN19" s="222"/>
      <c r="GO19" s="222"/>
      <c r="GP19" s="222"/>
      <c r="GQ19" s="222"/>
      <c r="GR19" s="222"/>
      <c r="GS19" s="222"/>
      <c r="GT19" s="222"/>
      <c r="GU19" s="222"/>
      <c r="GV19" s="222"/>
      <c r="GW19" s="222"/>
      <c r="GX19" s="222"/>
      <c r="GY19" s="222"/>
      <c r="GZ19" s="222"/>
      <c r="HA19" s="222"/>
      <c r="HB19" s="222"/>
      <c r="HC19" s="222"/>
      <c r="HD19" s="222"/>
      <c r="HE19" s="222"/>
      <c r="HF19" s="222"/>
      <c r="HG19" s="222"/>
      <c r="HH19" s="222"/>
      <c r="HI19" s="222"/>
      <c r="HJ19" s="222"/>
      <c r="HK19" s="222"/>
      <c r="HL19" s="222"/>
      <c r="HM19" s="222"/>
      <c r="HN19" s="222"/>
      <c r="HO19" s="222"/>
      <c r="HP19" s="222"/>
      <c r="HQ19" s="223"/>
      <c r="HR19" s="247" t="s">
        <v>67</v>
      </c>
      <c r="HS19" s="185"/>
      <c r="HT19" s="185"/>
      <c r="HU19" s="185"/>
      <c r="HV19" s="186"/>
    </row>
    <row r="20" spans="1:256" ht="13.8" customHeight="1" thickBot="1" x14ac:dyDescent="0.3">
      <c r="B20" s="195" t="s">
        <v>54</v>
      </c>
      <c r="C20" s="180"/>
      <c r="D20" s="180"/>
      <c r="E20" s="180"/>
      <c r="F20" s="180"/>
      <c r="G20" s="252">
        <v>4</v>
      </c>
      <c r="H20" s="180"/>
      <c r="I20" s="219"/>
      <c r="J20" s="220" t="s">
        <v>55</v>
      </c>
      <c r="K20" s="180"/>
      <c r="L20" s="180"/>
      <c r="M20" s="180"/>
      <c r="N20" s="219"/>
      <c r="O20" s="218" t="s">
        <v>76</v>
      </c>
      <c r="P20" s="180"/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219"/>
      <c r="AG20" s="167">
        <v>813</v>
      </c>
      <c r="AH20" s="212"/>
      <c r="AI20" s="206"/>
      <c r="AJ20" s="206"/>
      <c r="AK20" s="206"/>
      <c r="AL20" s="206"/>
      <c r="AM20" s="206"/>
      <c r="AN20" s="207"/>
      <c r="AO20" s="205" t="s">
        <v>57</v>
      </c>
      <c r="AP20" s="206"/>
      <c r="AQ20" s="206"/>
      <c r="AR20" s="206"/>
      <c r="AS20" s="206"/>
      <c r="AT20" s="206"/>
      <c r="AU20" s="207"/>
      <c r="AV20" s="225" t="s">
        <v>58</v>
      </c>
      <c r="AW20" s="180"/>
      <c r="AX20" s="180"/>
      <c r="AY20" s="181"/>
      <c r="AZ20" s="187" t="s">
        <v>77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  <c r="BK20" s="188"/>
      <c r="BL20" s="189"/>
      <c r="BM20" s="196" t="s">
        <v>78</v>
      </c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9"/>
      <c r="BZ20" s="227">
        <v>7.6999999999999999E-2</v>
      </c>
      <c r="CA20" s="180"/>
      <c r="CB20" s="180"/>
      <c r="CC20" s="180"/>
      <c r="CD20" s="180"/>
      <c r="CE20" s="180"/>
      <c r="CF20" s="181"/>
      <c r="CG20" s="227">
        <v>0.1226</v>
      </c>
      <c r="CH20" s="180"/>
      <c r="CI20" s="180"/>
      <c r="CJ20" s="180"/>
      <c r="CK20" s="180"/>
      <c r="CL20" s="180"/>
      <c r="CM20" s="181"/>
      <c r="CN20" s="227">
        <v>5.95</v>
      </c>
      <c r="CO20" s="180"/>
      <c r="CP20" s="180"/>
      <c r="CQ20" s="180"/>
      <c r="CR20" s="180"/>
      <c r="CS20" s="180"/>
      <c r="CT20" s="181"/>
      <c r="CU20" s="210" t="s">
        <v>79</v>
      </c>
      <c r="CV20" s="191"/>
      <c r="CW20" s="191"/>
      <c r="CX20" s="191"/>
      <c r="CY20" s="191"/>
      <c r="CZ20" s="191"/>
      <c r="DA20" s="192"/>
      <c r="DB20" s="270"/>
      <c r="DC20" s="191"/>
      <c r="DD20" s="191"/>
      <c r="DE20" s="191"/>
      <c r="DF20" s="191"/>
      <c r="DG20" s="191"/>
      <c r="DH20" s="192"/>
      <c r="DI20" s="224">
        <v>2.33E-4</v>
      </c>
      <c r="DJ20" s="191"/>
      <c r="DK20" s="191"/>
      <c r="DL20" s="191"/>
      <c r="DM20" s="191"/>
      <c r="DN20" s="191"/>
      <c r="DO20" s="192"/>
      <c r="DP20" s="224">
        <v>1.18E-4</v>
      </c>
      <c r="DQ20" s="191"/>
      <c r="DR20" s="191"/>
      <c r="DS20" s="191"/>
      <c r="DT20" s="191"/>
      <c r="DU20" s="191"/>
      <c r="DV20" s="192"/>
      <c r="DW20" s="203"/>
      <c r="DX20" s="191"/>
      <c r="DY20" s="191"/>
      <c r="DZ20" s="191"/>
      <c r="EA20" s="191"/>
      <c r="EB20" s="191"/>
      <c r="EC20" s="191"/>
      <c r="ED20" s="204" t="str">
        <f>CONCATENATE(B20,G20)</f>
        <v>A4</v>
      </c>
      <c r="EE20" s="186"/>
      <c r="EF20" s="250" t="s">
        <v>80</v>
      </c>
      <c r="EG20" s="185"/>
      <c r="EH20" s="186"/>
      <c r="EI20" s="236"/>
      <c r="EJ20" s="185"/>
      <c r="EK20" s="185"/>
      <c r="EL20" s="186"/>
      <c r="EM20" s="236" t="s">
        <v>81</v>
      </c>
      <c r="EN20" s="185"/>
      <c r="EO20" s="185"/>
      <c r="EP20" s="185"/>
      <c r="EQ20" s="185"/>
      <c r="ER20" s="185"/>
      <c r="ES20" s="185"/>
      <c r="ET20" s="185"/>
      <c r="EU20" s="186"/>
      <c r="EV20" s="236"/>
      <c r="EW20" s="185"/>
      <c r="EX20" s="185"/>
      <c r="EY20" s="185"/>
      <c r="EZ20" s="185"/>
      <c r="FA20" s="186"/>
      <c r="FB20" s="234" t="s">
        <v>61</v>
      </c>
      <c r="FC20" s="185"/>
      <c r="FD20" s="185"/>
      <c r="FE20" s="185"/>
      <c r="FF20" s="186"/>
      <c r="FG20" s="184" t="s">
        <v>82</v>
      </c>
      <c r="FH20" s="185"/>
      <c r="FI20" s="185"/>
      <c r="FJ20" s="186"/>
      <c r="FK20" s="184" t="s">
        <v>63</v>
      </c>
      <c r="FL20" s="185"/>
      <c r="FM20" s="185"/>
      <c r="FN20" s="186"/>
      <c r="FO20" s="209" t="s">
        <v>83</v>
      </c>
      <c r="FP20" s="185"/>
      <c r="FQ20" s="185"/>
      <c r="FR20" s="185"/>
      <c r="FS20" s="186"/>
      <c r="FT20" s="184" t="s">
        <v>63</v>
      </c>
      <c r="FU20" s="185"/>
      <c r="FV20" s="185"/>
      <c r="FW20" s="185"/>
      <c r="FX20" s="185"/>
      <c r="FY20" s="185"/>
      <c r="FZ20" s="186"/>
      <c r="GA20" s="221" t="s">
        <v>84</v>
      </c>
      <c r="GB20" s="222"/>
      <c r="GC20" s="222"/>
      <c r="GD20" s="222"/>
      <c r="GE20" s="222"/>
      <c r="GF20" s="222"/>
      <c r="GG20" s="222"/>
      <c r="GH20" s="222"/>
      <c r="GI20" s="222"/>
      <c r="GJ20" s="222"/>
      <c r="GK20" s="222"/>
      <c r="GL20" s="222"/>
      <c r="GM20" s="222"/>
      <c r="GN20" s="222"/>
      <c r="GO20" s="222"/>
      <c r="GP20" s="222"/>
      <c r="GQ20" s="222"/>
      <c r="GR20" s="222"/>
      <c r="GS20" s="222"/>
      <c r="GT20" s="222"/>
      <c r="GU20" s="222"/>
      <c r="GV20" s="222"/>
      <c r="GW20" s="222"/>
      <c r="GX20" s="222"/>
      <c r="GY20" s="222"/>
      <c r="GZ20" s="222"/>
      <c r="HA20" s="222"/>
      <c r="HB20" s="222"/>
      <c r="HC20" s="222"/>
      <c r="HD20" s="222"/>
      <c r="HE20" s="222"/>
      <c r="HF20" s="222"/>
      <c r="HG20" s="222"/>
      <c r="HH20" s="222"/>
      <c r="HI20" s="222"/>
      <c r="HJ20" s="222"/>
      <c r="HK20" s="222"/>
      <c r="HL20" s="222"/>
      <c r="HM20" s="222"/>
      <c r="HN20" s="222"/>
      <c r="HO20" s="222"/>
      <c r="HP20" s="222"/>
      <c r="HQ20" s="223"/>
      <c r="HR20" s="247" t="s">
        <v>67</v>
      </c>
      <c r="HS20" s="185"/>
      <c r="HT20" s="185"/>
      <c r="HU20" s="185"/>
      <c r="HV20" s="186"/>
    </row>
    <row r="21" spans="1:256" ht="14.4" customHeight="1" x14ac:dyDescent="0.25">
      <c r="A21" s="127"/>
      <c r="B21" s="172"/>
      <c r="C21" s="128"/>
      <c r="D21" s="128"/>
      <c r="E21" s="128"/>
      <c r="F21" s="128"/>
      <c r="G21" s="172"/>
      <c r="H21" s="128"/>
      <c r="I21" s="128"/>
      <c r="J21" s="128"/>
      <c r="K21" s="128"/>
      <c r="L21" s="128"/>
      <c r="M21" s="128"/>
      <c r="N21" s="128"/>
      <c r="O21" s="128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 t="s">
        <v>85</v>
      </c>
      <c r="AB21" s="129"/>
      <c r="AC21" s="129"/>
      <c r="AD21" s="129"/>
      <c r="AE21" s="129"/>
      <c r="AF21" s="129"/>
      <c r="AG21" s="176"/>
      <c r="AH21" s="176"/>
      <c r="AI21" s="176"/>
      <c r="AJ21" s="176"/>
      <c r="AK21" s="176"/>
      <c r="AL21" s="176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1"/>
      <c r="BX21" s="171"/>
      <c r="BY21" s="171"/>
      <c r="BZ21" s="171"/>
      <c r="CA21" s="171"/>
      <c r="CB21" s="171"/>
      <c r="CC21" s="171"/>
      <c r="CD21" s="171"/>
      <c r="CE21" s="171"/>
      <c r="CF21" s="171"/>
      <c r="CG21" s="171"/>
      <c r="CH21" s="171"/>
      <c r="CI21" s="171"/>
      <c r="CJ21" s="171"/>
      <c r="CK21" s="171"/>
      <c r="CL21" s="171"/>
      <c r="CM21" s="171"/>
      <c r="CN21" s="171"/>
      <c r="CO21" s="171"/>
      <c r="CP21" s="171"/>
      <c r="CQ21" s="171"/>
      <c r="CR21" s="171"/>
      <c r="CS21" s="171"/>
      <c r="CT21" s="171"/>
      <c r="CU21" s="171"/>
      <c r="CV21" s="171"/>
      <c r="CW21" s="171"/>
      <c r="CX21" s="171"/>
      <c r="CY21" s="171"/>
      <c r="CZ21" s="171"/>
      <c r="DA21" s="171"/>
      <c r="DB21" s="171"/>
      <c r="DC21" s="171"/>
      <c r="DD21" s="171"/>
      <c r="DE21" s="171"/>
      <c r="DF21" s="171"/>
      <c r="DG21" s="171"/>
      <c r="DH21" s="171"/>
      <c r="DI21" s="256"/>
      <c r="DJ21" s="257"/>
      <c r="DK21" s="257"/>
      <c r="DL21" s="257"/>
      <c r="DM21" s="257"/>
      <c r="DN21" s="257"/>
      <c r="DO21" s="257"/>
      <c r="IS21" s="134"/>
      <c r="IT21" s="134"/>
      <c r="IU21" s="173" t="str">
        <f>IF(ISBLANK(Daten!A19),"",Daten!A19)</f>
        <v/>
      </c>
      <c r="IV21" s="173" t="str">
        <f>IF(ISBLANK(Daten!B19),"",Daten!B19)</f>
        <v/>
      </c>
    </row>
    <row r="22" spans="1:256" ht="15.6" customHeight="1" x14ac:dyDescent="0.3">
      <c r="A22" s="7"/>
      <c r="B22" s="173" t="s">
        <v>86</v>
      </c>
      <c r="V22" s="18" t="s">
        <v>87</v>
      </c>
      <c r="DI22" s="202"/>
      <c r="DJ22" s="202"/>
      <c r="DK22" s="202"/>
      <c r="DL22" s="202"/>
      <c r="DM22" s="202"/>
      <c r="DN22" s="202"/>
      <c r="DO22" s="202"/>
      <c r="DQ22" s="177"/>
      <c r="DR22" s="202"/>
      <c r="DS22" s="202"/>
      <c r="DT22" s="202"/>
      <c r="DU22" s="202"/>
      <c r="DW22" s="228"/>
      <c r="DX22" s="202"/>
      <c r="DY22" s="202"/>
      <c r="DZ22" s="202"/>
      <c r="EA22" s="202"/>
      <c r="EB22" s="171"/>
      <c r="EE22" s="169"/>
      <c r="IS22" s="134"/>
      <c r="IU22" s="173" t="str">
        <f>IF(ISBLANK(Daten!A20),"",Daten!A20)</f>
        <v/>
      </c>
      <c r="IV22" s="173" t="str">
        <f>IF(ISBLANK(Daten!B20),"",Daten!B20)</f>
        <v/>
      </c>
    </row>
    <row r="23" spans="1:256" ht="14.4" customHeight="1" x14ac:dyDescent="0.25">
      <c r="A23" s="7"/>
      <c r="DI23" s="202"/>
      <c r="DJ23" s="202"/>
      <c r="DK23" s="202"/>
      <c r="DL23" s="202"/>
      <c r="DM23" s="202"/>
      <c r="DN23" s="202"/>
      <c r="DO23" s="202"/>
      <c r="DQ23" s="177"/>
      <c r="DR23" s="202"/>
      <c r="DS23" s="202"/>
      <c r="DT23" s="202"/>
      <c r="DU23" s="202"/>
      <c r="DW23" s="228"/>
      <c r="DX23" s="202"/>
      <c r="DY23" s="202"/>
      <c r="DZ23" s="202"/>
      <c r="EA23" s="202"/>
      <c r="EB23" s="171"/>
      <c r="EE23" s="169"/>
      <c r="IS23" s="134"/>
      <c r="IU23" s="173" t="str">
        <f>IF(ISBLANK(Daten!A21),"",Daten!A21)</f>
        <v/>
      </c>
      <c r="IV23" s="173" t="str">
        <f>IF(ISBLANK(Daten!B21),"",Daten!B21)</f>
        <v/>
      </c>
    </row>
    <row r="24" spans="1:256" x14ac:dyDescent="0.25">
      <c r="A24" s="7"/>
      <c r="B24" s="299" t="s">
        <v>88</v>
      </c>
      <c r="C24" s="215"/>
      <c r="D24" s="299" t="s">
        <v>89</v>
      </c>
      <c r="E24" s="215"/>
      <c r="F24" s="274" t="s">
        <v>90</v>
      </c>
      <c r="G24" s="214"/>
      <c r="H24" s="214"/>
      <c r="I24" s="214"/>
      <c r="J24" s="214"/>
      <c r="K24" s="214"/>
      <c r="L24" s="214"/>
      <c r="M24" s="214"/>
      <c r="N24" s="214"/>
      <c r="O24" s="214"/>
      <c r="P24" s="215"/>
      <c r="Q24" s="259" t="s">
        <v>91</v>
      </c>
      <c r="R24" s="214"/>
      <c r="S24" s="215"/>
      <c r="T24" s="213" t="s">
        <v>92</v>
      </c>
      <c r="U24" s="214"/>
      <c r="V24" s="214"/>
      <c r="W24" s="214"/>
      <c r="X24" s="214"/>
      <c r="Y24" s="214"/>
      <c r="Z24" s="214"/>
      <c r="AA24" s="214"/>
      <c r="AB24" s="215"/>
      <c r="AC24" s="213" t="s">
        <v>93</v>
      </c>
      <c r="AD24" s="214"/>
      <c r="AE24" s="214"/>
      <c r="AF24" s="214"/>
      <c r="AG24" s="214"/>
      <c r="AH24" s="214"/>
      <c r="AI24" s="214"/>
      <c r="AJ24" s="214"/>
      <c r="AK24" s="215"/>
      <c r="AL24" s="213" t="s">
        <v>93</v>
      </c>
      <c r="AM24" s="214"/>
      <c r="AN24" s="214"/>
      <c r="AO24" s="214"/>
      <c r="AP24" s="214"/>
      <c r="AQ24" s="214"/>
      <c r="AR24" s="214"/>
      <c r="AS24" s="214"/>
      <c r="AT24" s="215"/>
      <c r="AU24" s="213" t="s">
        <v>93</v>
      </c>
      <c r="AV24" s="214"/>
      <c r="AW24" s="214"/>
      <c r="AX24" s="214"/>
      <c r="AY24" s="214"/>
      <c r="AZ24" s="214"/>
      <c r="BA24" s="214"/>
      <c r="BB24" s="214"/>
      <c r="BC24" s="215"/>
      <c r="BD24" s="213" t="s">
        <v>93</v>
      </c>
      <c r="BE24" s="214"/>
      <c r="BF24" s="214"/>
      <c r="BG24" s="214"/>
      <c r="BH24" s="214"/>
      <c r="BI24" s="214"/>
      <c r="BJ24" s="214"/>
      <c r="BK24" s="214"/>
      <c r="BL24" s="215"/>
      <c r="BM24" s="213" t="s">
        <v>93</v>
      </c>
      <c r="BN24" s="214"/>
      <c r="BO24" s="214"/>
      <c r="BP24" s="214"/>
      <c r="BQ24" s="214"/>
      <c r="BR24" s="214"/>
      <c r="BS24" s="214"/>
      <c r="BT24" s="214"/>
      <c r="BU24" s="215"/>
      <c r="BV24" s="213" t="s">
        <v>93</v>
      </c>
      <c r="BW24" s="214"/>
      <c r="BX24" s="214"/>
      <c r="BY24" s="214"/>
      <c r="BZ24" s="214"/>
      <c r="CA24" s="214"/>
      <c r="CB24" s="214"/>
      <c r="CC24" s="214"/>
      <c r="CD24" s="215"/>
      <c r="CE24" s="259" t="s">
        <v>94</v>
      </c>
      <c r="CF24" s="214"/>
      <c r="CG24" s="215"/>
      <c r="DI24" s="202"/>
      <c r="DJ24" s="202"/>
      <c r="DK24" s="202"/>
      <c r="DL24" s="202"/>
      <c r="DM24" s="202"/>
      <c r="DN24" s="202"/>
      <c r="DO24" s="202"/>
      <c r="DQ24" s="177"/>
      <c r="DR24" s="202"/>
      <c r="DS24" s="202"/>
      <c r="DT24" s="202"/>
      <c r="DU24" s="202"/>
      <c r="DW24" s="228"/>
      <c r="DX24" s="202"/>
      <c r="DY24" s="202"/>
      <c r="DZ24" s="202"/>
      <c r="EA24" s="202"/>
      <c r="EB24" s="171"/>
      <c r="EE24" s="169"/>
      <c r="IU24" s="173" t="str">
        <f>IF(ISBLANK(Daten!A22),"",Daten!A22)</f>
        <v/>
      </c>
      <c r="IV24" s="173" t="str">
        <f>IF(ISBLANK(Daten!B22),"",Daten!B22)</f>
        <v/>
      </c>
    </row>
    <row r="25" spans="1:256" x14ac:dyDescent="0.25">
      <c r="A25" s="7"/>
      <c r="B25" s="216"/>
      <c r="C25" s="217"/>
      <c r="D25" s="216"/>
      <c r="E25" s="217"/>
      <c r="F25" s="216"/>
      <c r="G25" s="202"/>
      <c r="H25" s="202"/>
      <c r="I25" s="202"/>
      <c r="J25" s="202"/>
      <c r="K25" s="202"/>
      <c r="L25" s="202"/>
      <c r="M25" s="202"/>
      <c r="N25" s="202"/>
      <c r="O25" s="202"/>
      <c r="P25" s="217"/>
      <c r="Q25" s="216"/>
      <c r="R25" s="202"/>
      <c r="S25" s="217"/>
      <c r="T25" s="216"/>
      <c r="U25" s="202"/>
      <c r="V25" s="202"/>
      <c r="W25" s="202"/>
      <c r="X25" s="202"/>
      <c r="Y25" s="202"/>
      <c r="Z25" s="202"/>
      <c r="AA25" s="202"/>
      <c r="AB25" s="217"/>
      <c r="AC25" s="216"/>
      <c r="AD25" s="202"/>
      <c r="AE25" s="202"/>
      <c r="AF25" s="202"/>
      <c r="AG25" s="202"/>
      <c r="AH25" s="202"/>
      <c r="AI25" s="202"/>
      <c r="AJ25" s="202"/>
      <c r="AK25" s="217"/>
      <c r="AL25" s="216"/>
      <c r="AM25" s="202"/>
      <c r="AN25" s="202"/>
      <c r="AO25" s="202"/>
      <c r="AP25" s="202"/>
      <c r="AQ25" s="202"/>
      <c r="AR25" s="202"/>
      <c r="AS25" s="202"/>
      <c r="AT25" s="217"/>
      <c r="AU25" s="216"/>
      <c r="AV25" s="202"/>
      <c r="AW25" s="202"/>
      <c r="AX25" s="202"/>
      <c r="AY25" s="202"/>
      <c r="AZ25" s="202"/>
      <c r="BA25" s="202"/>
      <c r="BB25" s="202"/>
      <c r="BC25" s="217"/>
      <c r="BD25" s="216"/>
      <c r="BE25" s="202"/>
      <c r="BF25" s="202"/>
      <c r="BG25" s="202"/>
      <c r="BH25" s="202"/>
      <c r="BI25" s="202"/>
      <c r="BJ25" s="202"/>
      <c r="BK25" s="202"/>
      <c r="BL25" s="217"/>
      <c r="BM25" s="216"/>
      <c r="BN25" s="202"/>
      <c r="BO25" s="202"/>
      <c r="BP25" s="202"/>
      <c r="BQ25" s="202"/>
      <c r="BR25" s="202"/>
      <c r="BS25" s="202"/>
      <c r="BT25" s="202"/>
      <c r="BU25" s="217"/>
      <c r="BV25" s="216"/>
      <c r="BW25" s="202"/>
      <c r="BX25" s="202"/>
      <c r="BY25" s="202"/>
      <c r="BZ25" s="202"/>
      <c r="CA25" s="202"/>
      <c r="CB25" s="202"/>
      <c r="CC25" s="202"/>
      <c r="CD25" s="217"/>
      <c r="CE25" s="216"/>
      <c r="CF25" s="202"/>
      <c r="CG25" s="217"/>
      <c r="DI25" s="202"/>
      <c r="DJ25" s="202"/>
      <c r="DK25" s="202"/>
      <c r="DL25" s="202"/>
      <c r="DM25" s="202"/>
      <c r="DN25" s="202"/>
      <c r="DO25" s="202"/>
      <c r="IU25" s="173" t="str">
        <f>IF(ISBLANK(Daten!A23),"",Daten!A23)</f>
        <v/>
      </c>
      <c r="IV25" s="173" t="str">
        <f>IF(ISBLANK(Daten!B23),"",Daten!B23)</f>
        <v/>
      </c>
    </row>
    <row r="26" spans="1:256" x14ac:dyDescent="0.25">
      <c r="A26" s="7"/>
      <c r="B26" s="216"/>
      <c r="C26" s="217"/>
      <c r="D26" s="216"/>
      <c r="E26" s="217"/>
      <c r="F26" s="216"/>
      <c r="G26" s="202"/>
      <c r="H26" s="202"/>
      <c r="I26" s="202"/>
      <c r="J26" s="202"/>
      <c r="K26" s="202"/>
      <c r="L26" s="202"/>
      <c r="M26" s="202"/>
      <c r="N26" s="202"/>
      <c r="O26" s="202"/>
      <c r="P26" s="217"/>
      <c r="Q26" s="216"/>
      <c r="R26" s="202"/>
      <c r="S26" s="217"/>
      <c r="T26" s="216"/>
      <c r="U26" s="202"/>
      <c r="V26" s="202"/>
      <c r="W26" s="202"/>
      <c r="X26" s="202"/>
      <c r="Y26" s="202"/>
      <c r="Z26" s="202"/>
      <c r="AA26" s="202"/>
      <c r="AB26" s="217"/>
      <c r="AC26" s="216"/>
      <c r="AD26" s="202"/>
      <c r="AE26" s="202"/>
      <c r="AF26" s="202"/>
      <c r="AG26" s="202"/>
      <c r="AH26" s="202"/>
      <c r="AI26" s="202"/>
      <c r="AJ26" s="202"/>
      <c r="AK26" s="217"/>
      <c r="AL26" s="216"/>
      <c r="AM26" s="202"/>
      <c r="AN26" s="202"/>
      <c r="AO26" s="202"/>
      <c r="AP26" s="202"/>
      <c r="AQ26" s="202"/>
      <c r="AR26" s="202"/>
      <c r="AS26" s="202"/>
      <c r="AT26" s="217"/>
      <c r="AU26" s="216"/>
      <c r="AV26" s="202"/>
      <c r="AW26" s="202"/>
      <c r="AX26" s="202"/>
      <c r="AY26" s="202"/>
      <c r="AZ26" s="202"/>
      <c r="BA26" s="202"/>
      <c r="BB26" s="202"/>
      <c r="BC26" s="217"/>
      <c r="BD26" s="216"/>
      <c r="BE26" s="202"/>
      <c r="BF26" s="202"/>
      <c r="BG26" s="202"/>
      <c r="BH26" s="202"/>
      <c r="BI26" s="202"/>
      <c r="BJ26" s="202"/>
      <c r="BK26" s="202"/>
      <c r="BL26" s="217"/>
      <c r="BM26" s="216"/>
      <c r="BN26" s="202"/>
      <c r="BO26" s="202"/>
      <c r="BP26" s="202"/>
      <c r="BQ26" s="202"/>
      <c r="BR26" s="202"/>
      <c r="BS26" s="202"/>
      <c r="BT26" s="202"/>
      <c r="BU26" s="217"/>
      <c r="BV26" s="216"/>
      <c r="BW26" s="202"/>
      <c r="BX26" s="202"/>
      <c r="BY26" s="202"/>
      <c r="BZ26" s="202"/>
      <c r="CA26" s="202"/>
      <c r="CB26" s="202"/>
      <c r="CC26" s="202"/>
      <c r="CD26" s="217"/>
      <c r="CE26" s="216"/>
      <c r="CF26" s="202"/>
      <c r="CG26" s="217"/>
      <c r="DI26" s="202"/>
      <c r="DJ26" s="202"/>
      <c r="DK26" s="202"/>
      <c r="DL26" s="202"/>
      <c r="DM26" s="202"/>
      <c r="DN26" s="202"/>
      <c r="DO26" s="202"/>
      <c r="IU26" s="173" t="str">
        <f>IF(ISBLANK(Daten!A24),"",Daten!A24)</f>
        <v/>
      </c>
      <c r="IV26" s="173" t="str">
        <f>IF(ISBLANK(Daten!B24),"",Daten!B24)</f>
        <v/>
      </c>
    </row>
    <row r="27" spans="1:256" x14ac:dyDescent="0.25">
      <c r="B27" s="226" t="s">
        <v>54</v>
      </c>
      <c r="C27" s="181"/>
      <c r="D27" s="272" t="s">
        <v>54</v>
      </c>
      <c r="E27" s="273"/>
      <c r="F27" s="272" t="s">
        <v>95</v>
      </c>
      <c r="G27" s="180"/>
      <c r="H27" s="180"/>
      <c r="I27" s="180"/>
      <c r="J27" s="180"/>
      <c r="K27" s="180"/>
      <c r="L27" s="180"/>
      <c r="M27" s="180"/>
      <c r="N27" s="180"/>
      <c r="O27" s="180"/>
      <c r="P27" s="273"/>
      <c r="Q27" s="226" t="s">
        <v>96</v>
      </c>
      <c r="R27" s="180"/>
      <c r="S27" s="181"/>
      <c r="T27" s="226" t="s">
        <v>97</v>
      </c>
      <c r="U27" s="180"/>
      <c r="V27" s="180"/>
      <c r="W27" s="180"/>
      <c r="X27" s="180"/>
      <c r="Y27" s="180"/>
      <c r="Z27" s="180"/>
      <c r="AA27" s="180"/>
      <c r="AB27" s="181"/>
      <c r="AC27" s="246"/>
      <c r="AD27" s="191"/>
      <c r="AE27" s="191"/>
      <c r="AF27" s="191"/>
      <c r="AG27" s="191"/>
      <c r="AH27" s="191"/>
      <c r="AI27" s="191"/>
      <c r="AJ27" s="191"/>
      <c r="AK27" s="192"/>
      <c r="AL27" s="197"/>
      <c r="AM27" s="191"/>
      <c r="AN27" s="191"/>
      <c r="AO27" s="191"/>
      <c r="AP27" s="191"/>
      <c r="AQ27" s="191"/>
      <c r="AR27" s="191"/>
      <c r="AS27" s="191"/>
      <c r="AT27" s="191"/>
      <c r="AU27" s="197"/>
      <c r="AV27" s="191"/>
      <c r="AW27" s="191"/>
      <c r="AX27" s="191"/>
      <c r="AY27" s="191"/>
      <c r="AZ27" s="191"/>
      <c r="BA27" s="191"/>
      <c r="BB27" s="191"/>
      <c r="BC27" s="191"/>
      <c r="BD27" s="197"/>
      <c r="BE27" s="191"/>
      <c r="BF27" s="191"/>
      <c r="BG27" s="191"/>
      <c r="BH27" s="191"/>
      <c r="BI27" s="191"/>
      <c r="BJ27" s="191"/>
      <c r="BK27" s="191"/>
      <c r="BL27" s="191"/>
      <c r="BM27" s="197"/>
      <c r="BN27" s="191"/>
      <c r="BO27" s="191"/>
      <c r="BP27" s="191"/>
      <c r="BQ27" s="191"/>
      <c r="BR27" s="191"/>
      <c r="BS27" s="191"/>
      <c r="BT27" s="191"/>
      <c r="BU27" s="191"/>
      <c r="BV27" s="197"/>
      <c r="BW27" s="191"/>
      <c r="BX27" s="191"/>
      <c r="BY27" s="191"/>
      <c r="BZ27" s="191"/>
      <c r="CA27" s="191"/>
      <c r="CB27" s="191"/>
      <c r="CC27" s="191"/>
      <c r="CD27" s="191"/>
      <c r="CE27" s="208" t="s">
        <v>58</v>
      </c>
      <c r="CF27" s="180"/>
      <c r="CG27" s="181"/>
      <c r="DI27" s="202"/>
      <c r="DJ27" s="202"/>
      <c r="DK27" s="202"/>
      <c r="DL27" s="202"/>
      <c r="DM27" s="202"/>
      <c r="DN27" s="202"/>
      <c r="DO27" s="202"/>
    </row>
    <row r="28" spans="1:256" x14ac:dyDescent="0.25">
      <c r="DI28" s="202"/>
      <c r="DJ28" s="202"/>
      <c r="DK28" s="202"/>
      <c r="DL28" s="202"/>
      <c r="DM28" s="202"/>
      <c r="DN28" s="202"/>
      <c r="DO28" s="202"/>
      <c r="IU28" s="173" t="str">
        <f>IF(ISBLANK(Daten!A26),"",Daten!A26)</f>
        <v/>
      </c>
      <c r="IV28" s="173" t="str">
        <f>IF(ISBLANK(Daten!B26),"",Daten!B26)</f>
        <v/>
      </c>
    </row>
    <row r="29" spans="1:256" x14ac:dyDescent="0.25">
      <c r="DI29" s="202"/>
      <c r="DJ29" s="202"/>
      <c r="DK29" s="202"/>
      <c r="DL29" s="202"/>
      <c r="DM29" s="202"/>
      <c r="DN29" s="202"/>
      <c r="DO29" s="202"/>
      <c r="IU29" s="173" t="str">
        <f>IF(ISBLANK(Daten!A27),"",Daten!A27)</f>
        <v/>
      </c>
      <c r="IV29" s="173" t="str">
        <f>IF(ISBLANK(Daten!B27),"",Daten!B27)</f>
        <v/>
      </c>
    </row>
    <row r="30" spans="1:256" x14ac:dyDescent="0.25">
      <c r="A30" s="9"/>
      <c r="B30" s="170"/>
      <c r="U30" s="170"/>
      <c r="AO30" s="162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DI30" s="202"/>
      <c r="DJ30" s="202"/>
      <c r="DK30" s="202"/>
      <c r="DL30" s="202"/>
      <c r="DM30" s="202"/>
      <c r="DN30" s="202"/>
      <c r="DO30" s="202"/>
      <c r="IU30" s="173" t="str">
        <f>IF(ISBLANK(Daten!A28),"",Daten!A28)</f>
        <v/>
      </c>
      <c r="IV30" s="173" t="str">
        <f>IF(ISBLANK(Daten!B28),"",Daten!B28)</f>
        <v/>
      </c>
    </row>
    <row r="31" spans="1:256" x14ac:dyDescent="0.25">
      <c r="A31" s="9"/>
      <c r="B31" s="171"/>
      <c r="AO31" s="163"/>
      <c r="AP31" s="163"/>
      <c r="AQ31" s="163"/>
      <c r="AR31" s="163"/>
      <c r="AS31" s="163"/>
      <c r="AT31" s="166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6"/>
      <c r="BL31" s="163"/>
      <c r="BM31" s="163"/>
      <c r="DI31" s="202"/>
      <c r="DJ31" s="202"/>
      <c r="DK31" s="202"/>
      <c r="DL31" s="202"/>
      <c r="DM31" s="202"/>
      <c r="DN31" s="202"/>
      <c r="DO31" s="202"/>
      <c r="IU31" s="173" t="str">
        <f>IF(ISBLANK(Daten!A29),"",Daten!A29)</f>
        <v/>
      </c>
      <c r="IV31" s="173" t="str">
        <f>IF(ISBLANK(Daten!B29),"",Daten!B29)</f>
        <v/>
      </c>
    </row>
    <row r="32" spans="1:256" x14ac:dyDescent="0.25">
      <c r="A32" s="9"/>
      <c r="B32" s="173" t="s">
        <v>98</v>
      </c>
      <c r="DI32" s="202"/>
      <c r="DJ32" s="202"/>
      <c r="DK32" s="202"/>
      <c r="DL32" s="202"/>
      <c r="DM32" s="202"/>
      <c r="DN32" s="202"/>
      <c r="DO32" s="202"/>
      <c r="IU32" s="173" t="str">
        <f>IF(ISBLANK(Daten!A30),"",Daten!A30)</f>
        <v/>
      </c>
      <c r="IV32" s="173" t="str">
        <f>IF(ISBLANK(Daten!B30),"",Daten!B30)</f>
        <v/>
      </c>
    </row>
    <row r="33" spans="1:256" ht="15" customHeight="1" x14ac:dyDescent="0.35">
      <c r="A33" s="9"/>
      <c r="AM33" s="10"/>
      <c r="AN33" s="10"/>
      <c r="AO33" s="10"/>
      <c r="AP33" s="10"/>
      <c r="AQ33" s="11"/>
      <c r="AR33" s="11"/>
      <c r="AS33" s="12"/>
      <c r="AT33" s="13"/>
      <c r="AU33" s="13"/>
      <c r="AV33" s="171"/>
      <c r="AW33" s="171"/>
      <c r="CE33" s="162" t="s">
        <v>99</v>
      </c>
      <c r="DI33" s="202"/>
      <c r="DJ33" s="202"/>
      <c r="DK33" s="202"/>
      <c r="DL33" s="202"/>
      <c r="DM33" s="202"/>
      <c r="DN33" s="202"/>
      <c r="DO33" s="202"/>
      <c r="IU33" s="173" t="str">
        <f>IF(ISBLANK(Daten!A31),"",Daten!A31)</f>
        <v/>
      </c>
      <c r="IV33" s="173" t="str">
        <f>IF(ISBLANK(Daten!B31),"",Daten!B31)</f>
        <v/>
      </c>
    </row>
    <row r="34" spans="1:256" ht="13.8" customHeight="1" thickBot="1" x14ac:dyDescent="0.3">
      <c r="A34" s="9"/>
      <c r="B34" s="258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1"/>
      <c r="U34" s="182"/>
      <c r="V34" s="180"/>
      <c r="W34" s="180"/>
      <c r="X34" s="180"/>
      <c r="Y34" s="180"/>
      <c r="Z34" s="180"/>
      <c r="AA34" s="180"/>
      <c r="AB34" s="183"/>
      <c r="AD34" s="235"/>
      <c r="AE34" s="180"/>
      <c r="AF34" s="180"/>
      <c r="AG34" s="180"/>
      <c r="AH34" s="180"/>
      <c r="AI34" s="180"/>
      <c r="AJ34" s="180"/>
      <c r="AK34" s="180"/>
      <c r="AL34" s="181"/>
      <c r="AM34" s="119"/>
      <c r="AN34" s="119"/>
      <c r="AO34" s="290"/>
      <c r="AP34" s="284"/>
      <c r="AQ34" s="284"/>
      <c r="AR34" s="284"/>
      <c r="AS34" s="284"/>
      <c r="AT34" s="284"/>
      <c r="AU34" s="284"/>
      <c r="AV34" s="284"/>
      <c r="AW34" s="284"/>
      <c r="AX34" s="284"/>
      <c r="AY34" s="284"/>
      <c r="AZ34" s="284"/>
      <c r="BA34" s="284"/>
      <c r="BB34" s="284"/>
      <c r="BC34" s="284"/>
      <c r="BD34" s="284"/>
      <c r="BE34" s="284"/>
      <c r="BF34" s="284"/>
      <c r="BG34" s="284"/>
      <c r="BH34" s="284"/>
      <c r="BI34" s="284"/>
      <c r="BJ34" s="284"/>
      <c r="BK34" s="284"/>
      <c r="BL34" s="284"/>
      <c r="BM34" s="284"/>
      <c r="BN34" s="284"/>
      <c r="BO34" s="284"/>
      <c r="BP34" s="284"/>
      <c r="BQ34" s="284"/>
      <c r="BR34" s="284"/>
      <c r="BS34" s="284"/>
      <c r="BT34" s="284"/>
      <c r="BU34" s="284"/>
      <c r="BV34" s="284"/>
      <c r="BW34" s="284"/>
      <c r="BX34" s="284"/>
      <c r="BY34" s="284"/>
      <c r="CE34" s="163" t="s">
        <v>100</v>
      </c>
      <c r="CJ34" s="164" t="s">
        <v>101</v>
      </c>
      <c r="CN34" s="163" t="s">
        <v>102</v>
      </c>
      <c r="DA34" s="165" t="s">
        <v>101</v>
      </c>
      <c r="DD34" s="166"/>
      <c r="IU34" s="173" t="str">
        <f>IF(ISBLANK(Daten!A32),"",Daten!A32)</f>
        <v/>
      </c>
      <c r="IV34" s="173" t="str">
        <f>IF(ISBLANK(Daten!B32),"",Daten!B32)</f>
        <v/>
      </c>
    </row>
    <row r="35" spans="1:256" ht="15" customHeight="1" x14ac:dyDescent="0.35">
      <c r="A35" s="9"/>
      <c r="B35" s="170" t="s">
        <v>103</v>
      </c>
      <c r="U35" s="170" t="s">
        <v>104</v>
      </c>
      <c r="AD35" s="170" t="s">
        <v>105</v>
      </c>
      <c r="AM35" s="10"/>
      <c r="AN35" s="10"/>
      <c r="AO35" s="129" t="s">
        <v>106</v>
      </c>
      <c r="AP35" s="10"/>
      <c r="AQ35" s="11"/>
      <c r="AR35" s="11"/>
      <c r="AS35" s="12"/>
      <c r="AT35" s="13"/>
      <c r="AU35" s="13"/>
      <c r="AV35" s="171"/>
      <c r="AW35" s="171"/>
      <c r="IU35" s="173"/>
      <c r="IV35" s="173"/>
    </row>
    <row r="36" spans="1:256" ht="15" customHeight="1" x14ac:dyDescent="0.35">
      <c r="B36" s="173" t="s">
        <v>107</v>
      </c>
      <c r="U36" s="170"/>
      <c r="AD36" s="170"/>
      <c r="AM36" s="10"/>
      <c r="AN36" s="10"/>
      <c r="AO36" s="10"/>
      <c r="AP36" s="10"/>
      <c r="AQ36" s="11"/>
      <c r="AR36" s="11"/>
      <c r="AS36" s="12"/>
      <c r="AT36" s="13"/>
      <c r="AU36" s="13"/>
      <c r="AV36" s="171"/>
      <c r="AW36" s="171"/>
      <c r="IU36" s="173"/>
      <c r="IV36" s="173"/>
    </row>
    <row r="37" spans="1:256" x14ac:dyDescent="0.25">
      <c r="B37" s="276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2"/>
      <c r="T37" s="16"/>
      <c r="U37" s="292"/>
      <c r="V37" s="191"/>
      <c r="W37" s="191"/>
      <c r="X37" s="191"/>
      <c r="Y37" s="191"/>
      <c r="Z37" s="191"/>
      <c r="AA37" s="191"/>
      <c r="AB37" s="293"/>
      <c r="AC37" s="16"/>
      <c r="AD37" s="281"/>
      <c r="AE37" s="191"/>
      <c r="AF37" s="191"/>
      <c r="AG37" s="191"/>
      <c r="AH37" s="191"/>
      <c r="AI37" s="191"/>
      <c r="AJ37" s="191"/>
      <c r="AK37" s="191"/>
      <c r="AL37" s="192"/>
      <c r="AM37" s="16"/>
      <c r="AN37" s="16"/>
      <c r="AO37" s="283" t="s">
        <v>108</v>
      </c>
      <c r="AP37" s="284"/>
      <c r="AQ37" s="284"/>
      <c r="AR37" s="284"/>
      <c r="AS37" s="284"/>
      <c r="AT37" s="284"/>
      <c r="AU37" s="284"/>
      <c r="AV37" s="284"/>
      <c r="AW37" s="284"/>
      <c r="AX37" s="284"/>
      <c r="AY37" s="284"/>
      <c r="AZ37" s="284"/>
      <c r="BA37" s="284"/>
      <c r="BB37" s="284"/>
      <c r="BC37" s="284"/>
      <c r="BD37" s="284"/>
      <c r="BE37" s="284"/>
      <c r="BF37" s="284"/>
      <c r="BG37" s="284"/>
      <c r="BH37" s="284"/>
      <c r="BI37" s="284"/>
      <c r="BJ37" s="284"/>
      <c r="BK37" s="284"/>
      <c r="BL37" s="284"/>
      <c r="BM37" s="284"/>
      <c r="BN37" s="284"/>
      <c r="BO37" s="284"/>
      <c r="BP37" s="284"/>
      <c r="BQ37" s="284"/>
      <c r="BR37" s="284"/>
      <c r="BS37" s="284"/>
      <c r="BT37" s="284"/>
      <c r="BU37" s="284"/>
      <c r="BV37" s="284"/>
      <c r="BW37" s="284"/>
      <c r="BX37" s="284"/>
      <c r="BY37" s="284"/>
      <c r="IU37" s="173"/>
      <c r="IV37" s="173"/>
    </row>
    <row r="38" spans="1:256" x14ac:dyDescent="0.25">
      <c r="B38" s="17" t="s">
        <v>103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7" t="s">
        <v>104</v>
      </c>
      <c r="V38" s="16"/>
      <c r="W38" s="16"/>
      <c r="X38" s="16"/>
      <c r="Y38" s="16"/>
      <c r="Z38" s="16"/>
      <c r="AA38" s="16"/>
      <c r="AB38" s="16"/>
      <c r="AC38" s="16"/>
      <c r="AD38" s="17" t="s">
        <v>105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1" t="s">
        <v>109</v>
      </c>
      <c r="AP38" s="16"/>
      <c r="AQ38" s="16"/>
      <c r="AR38" s="16"/>
      <c r="AS38" s="16"/>
      <c r="AT38" s="16"/>
      <c r="AU38" s="16"/>
      <c r="AV38" s="16"/>
      <c r="AW38" s="171"/>
      <c r="IU38" s="173"/>
      <c r="IV38" s="173"/>
    </row>
    <row r="39" spans="1:256" x14ac:dyDescent="0.25">
      <c r="B39" s="170"/>
      <c r="AW39" s="171"/>
      <c r="IU39" s="173"/>
      <c r="IV39" s="173"/>
    </row>
    <row r="40" spans="1:256" x14ac:dyDescent="0.25">
      <c r="IU40" s="173"/>
      <c r="IV40" s="173"/>
    </row>
    <row r="41" spans="1:256" x14ac:dyDescent="0.25">
      <c r="B41" s="173" t="s">
        <v>110</v>
      </c>
      <c r="IU41" s="173"/>
    </row>
    <row r="42" spans="1:256" ht="14.4" customHeight="1" x14ac:dyDescent="0.3">
      <c r="AM42" s="10"/>
      <c r="AN42" s="10"/>
    </row>
    <row r="43" spans="1:256" x14ac:dyDescent="0.25">
      <c r="B43" s="258" t="s">
        <v>85</v>
      </c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1"/>
      <c r="U43" s="182"/>
      <c r="V43" s="180"/>
      <c r="W43" s="180"/>
      <c r="X43" s="180"/>
      <c r="Y43" s="180"/>
      <c r="Z43" s="180"/>
      <c r="AA43" s="180"/>
      <c r="AB43" s="183"/>
      <c r="AD43" s="297"/>
      <c r="AE43" s="180"/>
      <c r="AF43" s="180"/>
      <c r="AG43" s="180"/>
      <c r="AH43" s="180"/>
      <c r="AI43" s="180"/>
      <c r="AJ43" s="180"/>
      <c r="AK43" s="180"/>
      <c r="AL43" s="181"/>
      <c r="AM43" s="119"/>
      <c r="AN43" s="11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199"/>
      <c r="BM43" s="199"/>
      <c r="BN43" s="199"/>
      <c r="BO43" s="199"/>
      <c r="BP43" s="199"/>
      <c r="BQ43" s="199"/>
      <c r="BR43" s="199"/>
      <c r="BS43" s="199"/>
      <c r="BT43" s="199"/>
      <c r="BU43" s="199"/>
      <c r="BV43" s="199"/>
      <c r="BW43" s="199"/>
      <c r="BX43" s="199"/>
      <c r="BY43" s="199"/>
    </row>
    <row r="44" spans="1:256" ht="15" customHeight="1" x14ac:dyDescent="0.35">
      <c r="B44" s="170" t="s">
        <v>103</v>
      </c>
      <c r="U44" s="170" t="s">
        <v>104</v>
      </c>
      <c r="AD44" s="170" t="s">
        <v>105</v>
      </c>
      <c r="AM44" s="10"/>
      <c r="AN44" s="10"/>
      <c r="AO44" s="129" t="s">
        <v>111</v>
      </c>
      <c r="AP44" s="10"/>
      <c r="AQ44" s="11"/>
      <c r="AR44" s="11"/>
      <c r="AS44" s="12"/>
      <c r="AT44" s="13"/>
      <c r="AU44" s="13"/>
      <c r="AV44" s="171"/>
    </row>
    <row r="45" spans="1:256" ht="15" customHeight="1" x14ac:dyDescent="0.35">
      <c r="B45" s="170"/>
      <c r="U45" s="170"/>
      <c r="AD45" s="170"/>
      <c r="AM45" s="10"/>
      <c r="AN45" s="10"/>
      <c r="AO45" s="10"/>
      <c r="AP45" s="10"/>
      <c r="AQ45" s="11"/>
      <c r="AR45" s="11"/>
      <c r="AS45" s="12"/>
      <c r="AT45" s="13"/>
      <c r="AU45" s="13"/>
      <c r="AV45" s="171"/>
    </row>
    <row r="46" spans="1:256" x14ac:dyDescent="0.25">
      <c r="B46" s="260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U46" s="261"/>
      <c r="V46" s="261"/>
      <c r="W46" s="261"/>
      <c r="X46" s="261"/>
      <c r="Y46" s="261"/>
      <c r="Z46" s="261"/>
      <c r="AA46" s="261"/>
      <c r="AB46" s="261"/>
      <c r="AC46" s="261"/>
      <c r="AD46" s="261"/>
      <c r="AE46" s="261"/>
      <c r="AF46" s="261"/>
      <c r="AG46" s="261"/>
      <c r="AH46" s="261"/>
      <c r="AI46" s="261"/>
      <c r="AJ46" s="261"/>
      <c r="AK46" s="261"/>
      <c r="AL46" s="261"/>
      <c r="AM46" s="261"/>
      <c r="AN46" s="261"/>
      <c r="AO46" s="261"/>
      <c r="AP46" s="261"/>
      <c r="AQ46" s="261"/>
      <c r="AR46" s="261"/>
      <c r="AS46" s="261"/>
      <c r="AT46" s="261"/>
      <c r="AU46" s="261"/>
      <c r="AV46" s="262"/>
      <c r="AY46" s="112"/>
      <c r="EX46" s="115"/>
      <c r="EY46" s="115"/>
      <c r="EZ46" s="115"/>
      <c r="FA46" s="115"/>
      <c r="FB46" s="115"/>
      <c r="FC46" s="115"/>
      <c r="FD46" s="115"/>
      <c r="FE46" s="115"/>
      <c r="FF46" s="115"/>
      <c r="FG46" s="115"/>
      <c r="FH46" s="115"/>
      <c r="FI46" s="115"/>
      <c r="FJ46" s="115"/>
      <c r="FK46" s="115"/>
      <c r="FL46" s="115"/>
      <c r="FM46" s="115"/>
      <c r="FN46" s="115"/>
      <c r="FO46" s="115"/>
      <c r="FP46" s="115"/>
      <c r="FQ46" s="115"/>
      <c r="FR46" s="115"/>
      <c r="FS46" s="115"/>
      <c r="FT46" s="115"/>
    </row>
    <row r="47" spans="1:256" ht="12.75" customHeight="1" x14ac:dyDescent="0.25">
      <c r="B47" s="263"/>
      <c r="C47" s="264"/>
      <c r="D47" s="264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G47" s="264"/>
      <c r="AH47" s="264"/>
      <c r="AI47" s="264"/>
      <c r="AJ47" s="264"/>
      <c r="AK47" s="264"/>
      <c r="AL47" s="264"/>
      <c r="AM47" s="264"/>
      <c r="AN47" s="264"/>
      <c r="AO47" s="264"/>
      <c r="AP47" s="264"/>
      <c r="AQ47" s="264"/>
      <c r="AR47" s="264"/>
      <c r="AS47" s="264"/>
      <c r="AT47" s="264"/>
      <c r="AU47" s="264"/>
      <c r="AV47" s="265"/>
      <c r="EX47" s="115"/>
      <c r="EY47" s="115"/>
      <c r="EZ47" s="115"/>
      <c r="FA47" s="115"/>
      <c r="FB47" s="115"/>
      <c r="FC47" s="115"/>
      <c r="FD47" s="115"/>
      <c r="FE47" s="115"/>
      <c r="FF47" s="115"/>
      <c r="FG47" s="115"/>
      <c r="FH47" s="115"/>
      <c r="FI47" s="115"/>
      <c r="FJ47" s="115"/>
      <c r="FK47" s="115"/>
      <c r="FL47" s="115"/>
      <c r="FM47" s="115"/>
      <c r="FN47" s="115"/>
      <c r="FO47" s="115"/>
      <c r="FP47" s="115"/>
      <c r="FQ47" s="115"/>
      <c r="FR47" s="115"/>
      <c r="FS47" s="115"/>
      <c r="FT47" s="115"/>
    </row>
    <row r="48" spans="1:256" ht="12.75" customHeight="1" x14ac:dyDescent="0.25">
      <c r="B48" s="170" t="s">
        <v>112</v>
      </c>
      <c r="EX48" s="115"/>
      <c r="EY48" s="115"/>
      <c r="EZ48" s="115"/>
      <c r="FA48" s="115"/>
      <c r="FB48" s="115"/>
      <c r="FC48" s="115"/>
      <c r="FD48" s="115"/>
      <c r="FE48" s="115"/>
      <c r="FF48" s="115"/>
      <c r="FG48" s="115"/>
      <c r="FH48" s="115"/>
      <c r="FI48" s="115"/>
      <c r="FJ48" s="115"/>
      <c r="FK48" s="115"/>
      <c r="FL48" s="115"/>
      <c r="FM48" s="115"/>
      <c r="FN48" s="115"/>
      <c r="FO48" s="115"/>
      <c r="FP48" s="115"/>
      <c r="FQ48" s="115"/>
      <c r="FR48" s="115"/>
      <c r="FS48" s="115"/>
      <c r="FT48" s="115"/>
    </row>
  </sheetData>
  <mergeCells count="205">
    <mergeCell ref="AZ16:BL16"/>
    <mergeCell ref="T24:AB26"/>
    <mergeCell ref="EI17:EL17"/>
    <mergeCell ref="FB18:FF18"/>
    <mergeCell ref="AO18:AU18"/>
    <mergeCell ref="B24:C26"/>
    <mergeCell ref="D24:E26"/>
    <mergeCell ref="GA19:HQ19"/>
    <mergeCell ref="BV24:CD26"/>
    <mergeCell ref="BZ20:CF20"/>
    <mergeCell ref="DP20:DV20"/>
    <mergeCell ref="EI19:EL19"/>
    <mergeCell ref="DQ23:DU23"/>
    <mergeCell ref="HR17:HV17"/>
    <mergeCell ref="EI20:EL20"/>
    <mergeCell ref="O18:AF18"/>
    <mergeCell ref="AO37:BY37"/>
    <mergeCell ref="EV19:FA19"/>
    <mergeCell ref="DW19:EC19"/>
    <mergeCell ref="J18:N18"/>
    <mergeCell ref="FO17:FS17"/>
    <mergeCell ref="CU17:DA17"/>
    <mergeCell ref="AV19:AY19"/>
    <mergeCell ref="HR19:HV19"/>
    <mergeCell ref="J17:N17"/>
    <mergeCell ref="DI17:DO17"/>
    <mergeCell ref="EF17:EH17"/>
    <mergeCell ref="DW22:EA22"/>
    <mergeCell ref="AC24:AK26"/>
    <mergeCell ref="FG20:FJ20"/>
    <mergeCell ref="CU19:DA19"/>
    <mergeCell ref="DQ22:DU22"/>
    <mergeCell ref="FK18:FN18"/>
    <mergeCell ref="AU27:BC27"/>
    <mergeCell ref="J19:N19"/>
    <mergeCell ref="AZ17:BL17"/>
    <mergeCell ref="EF19:EH19"/>
    <mergeCell ref="U43:AB43"/>
    <mergeCell ref="EM19:EU19"/>
    <mergeCell ref="AD37:AL37"/>
    <mergeCell ref="EV18:FA18"/>
    <mergeCell ref="AH20:AN20"/>
    <mergeCell ref="CG18:CM18"/>
    <mergeCell ref="BM17:BY17"/>
    <mergeCell ref="AO19:AU19"/>
    <mergeCell ref="DW17:EC17"/>
    <mergeCell ref="ED19:EE19"/>
    <mergeCell ref="BM19:BY19"/>
    <mergeCell ref="CG20:CM20"/>
    <mergeCell ref="AO34:BY34"/>
    <mergeCell ref="EM17:EU17"/>
    <mergeCell ref="DW23:EA23"/>
    <mergeCell ref="DP17:DV17"/>
    <mergeCell ref="U37:AB37"/>
    <mergeCell ref="BZ17:CF17"/>
    <mergeCell ref="AD43:AL43"/>
    <mergeCell ref="AL24:AT26"/>
    <mergeCell ref="BD24:BL26"/>
    <mergeCell ref="DP19:DV19"/>
    <mergeCell ref="BM18:BY18"/>
    <mergeCell ref="EV17:FA17"/>
    <mergeCell ref="B43:S43"/>
    <mergeCell ref="AO43:BY43"/>
    <mergeCell ref="Q24:S26"/>
    <mergeCell ref="B46:AV47"/>
    <mergeCell ref="GA18:HQ18"/>
    <mergeCell ref="ED16:EE16"/>
    <mergeCell ref="O20:AF20"/>
    <mergeCell ref="G19:I19"/>
    <mergeCell ref="GA20:HQ20"/>
    <mergeCell ref="DB18:DH18"/>
    <mergeCell ref="CE24:CG26"/>
    <mergeCell ref="AV20:AY20"/>
    <mergeCell ref="EV16:FA16"/>
    <mergeCell ref="DB17:DH17"/>
    <mergeCell ref="CN19:CT19"/>
    <mergeCell ref="B34:S34"/>
    <mergeCell ref="Q27:S27"/>
    <mergeCell ref="D27:E27"/>
    <mergeCell ref="F24:P26"/>
    <mergeCell ref="DB19:DH19"/>
    <mergeCell ref="B37:S37"/>
    <mergeCell ref="EF20:EH20"/>
    <mergeCell ref="G20:I20"/>
    <mergeCell ref="EM20:EU20"/>
    <mergeCell ref="HR18:HV18"/>
    <mergeCell ref="B19:F19"/>
    <mergeCell ref="J16:N16"/>
    <mergeCell ref="EF16:EH16"/>
    <mergeCell ref="FT17:FZ17"/>
    <mergeCell ref="DI19:DO19"/>
    <mergeCell ref="CG17:CM17"/>
    <mergeCell ref="ED20:EE20"/>
    <mergeCell ref="J5:U5"/>
    <mergeCell ref="EF18:EH18"/>
    <mergeCell ref="O19:AF19"/>
    <mergeCell ref="FT19:FZ19"/>
    <mergeCell ref="AB14:AD14"/>
    <mergeCell ref="CN16:CT16"/>
    <mergeCell ref="BZ18:CF18"/>
    <mergeCell ref="G17:I17"/>
    <mergeCell ref="AR14:AT14"/>
    <mergeCell ref="EM16:EU16"/>
    <mergeCell ref="AO20:AU20"/>
    <mergeCell ref="HR20:HV20"/>
    <mergeCell ref="CN18:CT18"/>
    <mergeCell ref="AV14:AX14"/>
    <mergeCell ref="CG16:CM16"/>
    <mergeCell ref="HR16:HV16"/>
    <mergeCell ref="GA16:HQ16"/>
    <mergeCell ref="BZ19:CF19"/>
    <mergeCell ref="B20:F20"/>
    <mergeCell ref="DB16:DH16"/>
    <mergeCell ref="AL27:AT27"/>
    <mergeCell ref="FB20:FF20"/>
    <mergeCell ref="AD34:AL34"/>
    <mergeCell ref="EV20:FA20"/>
    <mergeCell ref="B27:C27"/>
    <mergeCell ref="BV27:CD27"/>
    <mergeCell ref="CN20:CT20"/>
    <mergeCell ref="EM18:EU18"/>
    <mergeCell ref="DI16:DO16"/>
    <mergeCell ref="AU24:BC26"/>
    <mergeCell ref="O16:AF16"/>
    <mergeCell ref="DI18:DO18"/>
    <mergeCell ref="ED18:EE18"/>
    <mergeCell ref="AV16:AY16"/>
    <mergeCell ref="AO16:AU16"/>
    <mergeCell ref="B17:F17"/>
    <mergeCell ref="DW18:EC18"/>
    <mergeCell ref="AZ19:BL19"/>
    <mergeCell ref="CU16:DA16"/>
    <mergeCell ref="FG17:FJ17"/>
    <mergeCell ref="GA17:HQ17"/>
    <mergeCell ref="DI20:DO20"/>
    <mergeCell ref="AH17:AN17"/>
    <mergeCell ref="AV17:AY17"/>
    <mergeCell ref="T27:AB27"/>
    <mergeCell ref="FO19:FS19"/>
    <mergeCell ref="DP18:DV18"/>
    <mergeCell ref="CN17:CT17"/>
    <mergeCell ref="AZ20:BL20"/>
    <mergeCell ref="DW24:EA24"/>
    <mergeCell ref="AV18:AY18"/>
    <mergeCell ref="AC27:AK27"/>
    <mergeCell ref="FK20:FN20"/>
    <mergeCell ref="FT20:FZ20"/>
    <mergeCell ref="DI21:DO33"/>
    <mergeCell ref="CE27:CG27"/>
    <mergeCell ref="BD27:BL27"/>
    <mergeCell ref="FK17:FN17"/>
    <mergeCell ref="FO18:FS18"/>
    <mergeCell ref="FB17:FF17"/>
    <mergeCell ref="FB19:FF19"/>
    <mergeCell ref="EI18:EL18"/>
    <mergeCell ref="AH19:AN19"/>
    <mergeCell ref="DQ24:DU24"/>
    <mergeCell ref="FT16:FZ16"/>
    <mergeCell ref="AK3:AR3"/>
    <mergeCell ref="DW20:EC20"/>
    <mergeCell ref="ED17:EE17"/>
    <mergeCell ref="FG19:FJ19"/>
    <mergeCell ref="AO17:AU17"/>
    <mergeCell ref="FT18:FZ18"/>
    <mergeCell ref="BF9:BH9"/>
    <mergeCell ref="FO20:FS20"/>
    <mergeCell ref="CU20:DA20"/>
    <mergeCell ref="FB16:FF16"/>
    <mergeCell ref="AH18:AN18"/>
    <mergeCell ref="FK19:FN19"/>
    <mergeCell ref="DP16:DV16"/>
    <mergeCell ref="BO7:BR7"/>
    <mergeCell ref="BZ15:CT15"/>
    <mergeCell ref="BP9:CI9"/>
    <mergeCell ref="AG3:AI3"/>
    <mergeCell ref="FK16:FN16"/>
    <mergeCell ref="DW16:EC16"/>
    <mergeCell ref="FO16:FS16"/>
    <mergeCell ref="BZ16:CF16"/>
    <mergeCell ref="AH16:AN16"/>
    <mergeCell ref="BM16:BY16"/>
    <mergeCell ref="B16:F16"/>
    <mergeCell ref="CG19:CM19"/>
    <mergeCell ref="U34:AB34"/>
    <mergeCell ref="FG18:FJ18"/>
    <mergeCell ref="AZ18:BL18"/>
    <mergeCell ref="CU18:DA18"/>
    <mergeCell ref="AE7:AX7"/>
    <mergeCell ref="B18:F18"/>
    <mergeCell ref="BM20:BY20"/>
    <mergeCell ref="BM27:BU27"/>
    <mergeCell ref="G16:I16"/>
    <mergeCell ref="BM24:BU26"/>
    <mergeCell ref="O17:AF17"/>
    <mergeCell ref="J20:N20"/>
    <mergeCell ref="Q9:AE9"/>
    <mergeCell ref="G18:I18"/>
    <mergeCell ref="X14:Z14"/>
    <mergeCell ref="J7:R7"/>
    <mergeCell ref="AV15:AX15"/>
    <mergeCell ref="EI16:EL16"/>
    <mergeCell ref="AR9:AX9"/>
    <mergeCell ref="FG16:FJ16"/>
    <mergeCell ref="F27:P27"/>
    <mergeCell ref="DB20:DH20"/>
  </mergeCells>
  <dataValidations count="27">
    <dataValidation type="list" allowBlank="1" showInputMessage="1" showErrorMessage="1" sqref="BF9">
      <formula1>JaNein</formula1>
    </dataValidation>
    <dataValidation type="list" allowBlank="1" showInputMessage="1" showErrorMessage="1" error="database empty" sqref="BE13">
      <formula1>"Nothing to do"</formula1>
    </dataValidation>
    <dataValidation allowBlank="1" showInputMessage="1" showErrorMessage="1" error="database empty" sqref="BD13 BG12:BJ14 BK12 BK14"/>
    <dataValidation allowBlank="1" showInputMessage="1" showErrorMessage="1" error="database must be corrupt" sqref="BC13"/>
    <dataValidation allowBlank="1" showErrorMessage="1" sqref="BF13"/>
    <dataValidation type="list" allowBlank="1" showInputMessage="1" showErrorMessage="1" sqref="CJ34 DA34">
      <formula1>"No,Yes"</formula1>
    </dataValidation>
    <dataValidation type="list" allowBlank="1" showInputMessage="1" showErrorMessage="1" sqref="J17">
      <formula1>Oberflaechen</formula1>
    </dataValidation>
    <dataValidation type="list" allowBlank="1" showInputMessage="1" showErrorMessage="1" sqref="AV17">
      <formula1>JaNein</formula1>
    </dataValidation>
    <dataValidation type="list" allowBlank="1" showInputMessage="1" showErrorMessage="1" sqref="AZ17">
      <formula1>Pintypen</formula1>
    </dataValidation>
    <dataValidation type="list" allowBlank="1" showInputMessage="1" showErrorMessage="1" sqref="BM17">
      <formula1>INDIRECT(VLOOKUP(IF(ISBLANK(AZ17),"",AZ17),$IU$1:$IV$32,2,FALSE))</formula1>
    </dataValidation>
    <dataValidation type="list" allowBlank="1" showInputMessage="1" showErrorMessage="1" sqref="J18">
      <formula1>Oberflaechen</formula1>
    </dataValidation>
    <dataValidation type="list" allowBlank="1" showInputMessage="1" showErrorMessage="1" sqref="AV18">
      <formula1>JaNein</formula1>
    </dataValidation>
    <dataValidation type="list" allowBlank="1" showInputMessage="1" showErrorMessage="1" sqref="AZ18">
      <formula1>Pintypen</formula1>
    </dataValidation>
    <dataValidation type="list" allowBlank="1" showInputMessage="1" showErrorMessage="1" sqref="BM18">
      <formula1>INDIRECT(VLOOKUP(IF(ISBLANK(AZ18),"",AZ18),$IU$1:$IV$32,2,FALSE))</formula1>
    </dataValidation>
    <dataValidation type="list" allowBlank="1" showInputMessage="1" showErrorMessage="1" sqref="J19">
      <formula1>Oberflaechen</formula1>
    </dataValidation>
    <dataValidation type="list" allowBlank="1" showInputMessage="1" showErrorMessage="1" sqref="AV19">
      <formula1>JaNein</formula1>
    </dataValidation>
    <dataValidation type="list" allowBlank="1" showInputMessage="1" showErrorMessage="1" sqref="AZ19">
      <formula1>Pintypen</formula1>
    </dataValidation>
    <dataValidation type="list" allowBlank="1" showInputMessage="1" showErrorMessage="1" sqref="BM19">
      <formula1>INDIRECT(VLOOKUP(IF(ISBLANK(AZ19),"",AZ19),$IU$1:$IV$32,2,FALSE))</formula1>
    </dataValidation>
    <dataValidation type="list" allowBlank="1" showInputMessage="1" showErrorMessage="1" sqref="J20">
      <formula1>Oberflaechen</formula1>
    </dataValidation>
    <dataValidation type="list" allowBlank="1" showInputMessage="1" showErrorMessage="1" sqref="AV20">
      <formula1>JaNein</formula1>
    </dataValidation>
    <dataValidation type="list" allowBlank="1" showInputMessage="1" showErrorMessage="1" sqref="AZ20">
      <formula1>Pintypen</formula1>
    </dataValidation>
    <dataValidation type="list" allowBlank="1" showInputMessage="1" showErrorMessage="1" sqref="BM20">
      <formula1>INDIRECT(VLOOKUP(IF(ISBLANK(AZ20),"",AZ20),$IU$1:$IV$32,2,FALSE))</formula1>
    </dataValidation>
    <dataValidation type="list" allowBlank="1" showInputMessage="1" showErrorMessage="1" sqref="Q27">
      <formula1>JaNein</formula1>
    </dataValidation>
    <dataValidation type="list" allowBlank="1" showInputMessage="1" showErrorMessage="1" sqref="CE27">
      <formula1>JaNein</formula1>
    </dataValidation>
    <dataValidation type="list" allowBlank="1" showInputMessage="1" showErrorMessage="1" error="database must be corrupt" sqref="AV14">
      <formula1>"A1,A2,A3,A4,"</formula1>
    </dataValidation>
    <dataValidation type="list" allowBlank="1" showInputMessage="1" showErrorMessage="1" error="database must be corrupt" sqref="AV15">
      <formula1>"A1,A2,A3,A4,"</formula1>
    </dataValidation>
    <dataValidation type="list" allowBlank="1" showInputMessage="1" showErrorMessage="1" error="database must be corrupt" sqref="AB14">
      <formula1>"A,"</formula1>
    </dataValidation>
  </dataValidations>
  <pageMargins left="0.78740157480314965" right="0.78740157480314965" top="0.98425196850393704" bottom="0.98425196850393704" header="0.51181102362204722" footer="0.51181102362204722"/>
  <pageSetup paperSize="9" scale="60" fitToHeight="5" orientation="landscape"/>
  <headerFooter alignWithMargins="0">
    <oddHeader>&amp;L&amp;"Arial"&amp;1 &amp;KFF8C00Hanon Systems – Confidential#</oddHead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51"/>
  <sheetViews>
    <sheetView workbookViewId="0"/>
  </sheetViews>
  <sheetFormatPr defaultColWidth="10.88671875" defaultRowHeight="13.2" x14ac:dyDescent="0.25"/>
  <cols>
    <col min="1" max="1" width="28.44140625" style="174" bestFit="1" customWidth="1"/>
    <col min="2" max="2" width="28.44140625" style="174" customWidth="1"/>
  </cols>
  <sheetData>
    <row r="1" spans="1:7" x14ac:dyDescent="0.25">
      <c r="A1" s="173" t="s">
        <v>113</v>
      </c>
      <c r="B1" s="173"/>
      <c r="C1" s="173"/>
    </row>
    <row r="2" spans="1:7" x14ac:dyDescent="0.25">
      <c r="A2" s="171" t="str">
        <f>""</f>
        <v/>
      </c>
      <c r="B2" s="171" t="s">
        <v>114</v>
      </c>
      <c r="C2" s="173"/>
    </row>
    <row r="3" spans="1:7" x14ac:dyDescent="0.25">
      <c r="A3" s="171" t="s">
        <v>59</v>
      </c>
      <c r="B3" s="171" t="s">
        <v>115</v>
      </c>
    </row>
    <row r="4" spans="1:7" x14ac:dyDescent="0.25">
      <c r="A4" s="171" t="s">
        <v>116</v>
      </c>
      <c r="B4" s="171" t="s">
        <v>117</v>
      </c>
      <c r="C4" s="171"/>
    </row>
    <row r="5" spans="1:7" x14ac:dyDescent="0.25">
      <c r="A5" s="171" t="s">
        <v>77</v>
      </c>
      <c r="B5" s="171" t="s">
        <v>118</v>
      </c>
      <c r="C5" s="171"/>
      <c r="D5" s="171"/>
      <c r="E5" s="171"/>
      <c r="F5" s="171"/>
      <c r="G5" s="171"/>
    </row>
    <row r="6" spans="1:7" x14ac:dyDescent="0.25">
      <c r="A6" s="171" t="s">
        <v>70</v>
      </c>
      <c r="B6" s="171" t="s">
        <v>119</v>
      </c>
      <c r="C6" s="171"/>
    </row>
    <row r="7" spans="1:7" x14ac:dyDescent="0.25">
      <c r="A7" s="171" t="s">
        <v>120</v>
      </c>
      <c r="B7" s="171" t="s">
        <v>121</v>
      </c>
    </row>
    <row r="8" spans="1:7" x14ac:dyDescent="0.25">
      <c r="A8" s="171" t="s">
        <v>122</v>
      </c>
      <c r="B8" s="171" t="s">
        <v>123</v>
      </c>
    </row>
    <row r="9" spans="1:7" x14ac:dyDescent="0.25">
      <c r="A9" s="171" t="s">
        <v>124</v>
      </c>
      <c r="B9" s="171" t="s">
        <v>125</v>
      </c>
    </row>
    <row r="11" spans="1:7" x14ac:dyDescent="0.25">
      <c r="A11" s="171"/>
    </row>
    <row r="12" spans="1:7" x14ac:dyDescent="0.25">
      <c r="A12" s="171"/>
    </row>
    <row r="40" spans="1:1" x14ac:dyDescent="0.25">
      <c r="A40" s="173" t="s">
        <v>126</v>
      </c>
    </row>
    <row r="41" spans="1:1" x14ac:dyDescent="0.25">
      <c r="A41" s="171" t="s">
        <v>58</v>
      </c>
    </row>
    <row r="42" spans="1:1" x14ac:dyDescent="0.25">
      <c r="A42" s="171" t="s">
        <v>16</v>
      </c>
    </row>
    <row r="43" spans="1:1" x14ac:dyDescent="0.25">
      <c r="A43" s="173" t="s">
        <v>127</v>
      </c>
    </row>
    <row r="44" spans="1:1" x14ac:dyDescent="0.25">
      <c r="A44" s="171" t="s">
        <v>128</v>
      </c>
    </row>
    <row r="45" spans="1:1" x14ac:dyDescent="0.25">
      <c r="A45" s="171" t="s">
        <v>129</v>
      </c>
    </row>
    <row r="46" spans="1:1" x14ac:dyDescent="0.25">
      <c r="A46" s="171" t="s">
        <v>130</v>
      </c>
    </row>
    <row r="47" spans="1:1" x14ac:dyDescent="0.25">
      <c r="A47" s="171" t="s">
        <v>131</v>
      </c>
    </row>
    <row r="48" spans="1:1" x14ac:dyDescent="0.25">
      <c r="A48" s="171" t="s">
        <v>132</v>
      </c>
    </row>
    <row r="49" spans="1:1" x14ac:dyDescent="0.25">
      <c r="A49" s="171" t="s">
        <v>133</v>
      </c>
    </row>
    <row r="50" spans="1:1" x14ac:dyDescent="0.25">
      <c r="A50" s="171" t="s">
        <v>55</v>
      </c>
    </row>
    <row r="51" spans="1:1" x14ac:dyDescent="0.25">
      <c r="A51" s="171" t="s">
        <v>134</v>
      </c>
    </row>
  </sheetData>
  <pageMargins left="0.7" right="0.7" top="0.78740157499999996" bottom="0.78740157499999996" header="0.3" footer="0.3"/>
  <pageSetup paperSize="9" orientation="portrait"/>
  <headerFooter>
    <oddHeader>&amp;L&amp;"Arial"&amp;1 &amp;KFF8C00Hanon Systems – Confidential#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W109"/>
  <sheetViews>
    <sheetView workbookViewId="0">
      <selection activeCell="T3" sqref="T3"/>
    </sheetView>
  </sheetViews>
  <sheetFormatPr defaultColWidth="10.88671875" defaultRowHeight="13.2" x14ac:dyDescent="0.25"/>
  <cols>
    <col min="1" max="1" width="10.88671875" style="174" customWidth="1"/>
    <col min="2" max="2" width="22.5546875" style="174" bestFit="1" customWidth="1"/>
    <col min="3" max="13" width="10.88671875" style="174" customWidth="1"/>
    <col min="14" max="14" width="2.44140625" style="174" customWidth="1"/>
    <col min="15" max="15" width="3" style="174" customWidth="1"/>
    <col min="16" max="16" width="2.5546875" style="174" customWidth="1"/>
    <col min="17" max="17" width="3.5546875" style="174" customWidth="1"/>
    <col min="18" max="18" width="2.44140625" style="174" customWidth="1"/>
    <col min="19" max="19" width="3.109375" style="174" customWidth="1"/>
    <col min="20" max="20" width="21.5546875" style="174" bestFit="1" customWidth="1"/>
    <col min="21" max="21" width="21.44140625" style="174" bestFit="1" customWidth="1"/>
    <col min="22" max="22" width="10.5546875" style="174" bestFit="1" customWidth="1"/>
    <col min="23" max="23" width="12.44140625" style="174" bestFit="1" customWidth="1"/>
  </cols>
  <sheetData>
    <row r="1" spans="1:23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  <c r="T1" s="173" t="s">
        <v>143</v>
      </c>
    </row>
    <row r="2" spans="1:23" x14ac:dyDescent="0.25">
      <c r="A2" s="171"/>
      <c r="B2" s="171" t="s">
        <v>144</v>
      </c>
      <c r="C2" s="171"/>
      <c r="D2" s="171"/>
      <c r="E2" s="171"/>
      <c r="F2" s="171"/>
      <c r="G2" s="171"/>
      <c r="H2" s="171"/>
      <c r="T2" s="173"/>
    </row>
    <row r="3" spans="1:23" x14ac:dyDescent="0.25">
      <c r="T3" s="173" t="s">
        <v>145</v>
      </c>
      <c r="U3" s="173" t="s">
        <v>146</v>
      </c>
      <c r="V3" s="173" t="s">
        <v>147</v>
      </c>
      <c r="W3" s="173" t="s">
        <v>148</v>
      </c>
    </row>
    <row r="4" spans="1:23" x14ac:dyDescent="0.25">
      <c r="A4" s="300" t="s">
        <v>149</v>
      </c>
      <c r="B4" s="202"/>
      <c r="T4" s="171" t="s">
        <v>150</v>
      </c>
      <c r="U4" s="171" t="s">
        <v>151</v>
      </c>
      <c r="V4" s="171" t="s">
        <v>152</v>
      </c>
      <c r="W4" s="171" t="s">
        <v>153</v>
      </c>
    </row>
    <row r="5" spans="1:23" x14ac:dyDescent="0.25">
      <c r="T5" s="171" t="s">
        <v>154</v>
      </c>
      <c r="U5" s="171" t="s">
        <v>155</v>
      </c>
      <c r="V5" s="171" t="s">
        <v>156</v>
      </c>
      <c r="W5" s="171" t="s">
        <v>157</v>
      </c>
    </row>
    <row r="6" spans="1:23" x14ac:dyDescent="0.25">
      <c r="T6" s="171" t="s">
        <v>158</v>
      </c>
      <c r="U6" s="171" t="s">
        <v>159</v>
      </c>
      <c r="V6" s="171" t="s">
        <v>160</v>
      </c>
      <c r="W6" s="171" t="s">
        <v>161</v>
      </c>
    </row>
    <row r="7" spans="1:23" x14ac:dyDescent="0.25">
      <c r="T7" s="171" t="s">
        <v>162</v>
      </c>
      <c r="U7" s="171" t="s">
        <v>163</v>
      </c>
      <c r="V7" s="171" t="s">
        <v>164</v>
      </c>
      <c r="W7" s="171" t="s">
        <v>165</v>
      </c>
    </row>
    <row r="8" spans="1:23" x14ac:dyDescent="0.25">
      <c r="T8" s="171" t="s">
        <v>166</v>
      </c>
      <c r="U8" s="171" t="s">
        <v>167</v>
      </c>
      <c r="V8" s="171" t="s">
        <v>168</v>
      </c>
      <c r="W8" s="171" t="s">
        <v>169</v>
      </c>
    </row>
    <row r="9" spans="1:23" x14ac:dyDescent="0.25">
      <c r="T9" s="171" t="s">
        <v>170</v>
      </c>
      <c r="U9" s="171" t="s">
        <v>171</v>
      </c>
      <c r="V9" s="171" t="s">
        <v>172</v>
      </c>
      <c r="W9" s="171" t="s">
        <v>173</v>
      </c>
    </row>
    <row r="10" spans="1:23" x14ac:dyDescent="0.25">
      <c r="T10" s="171" t="s">
        <v>174</v>
      </c>
      <c r="U10" s="171" t="s">
        <v>175</v>
      </c>
      <c r="V10" s="171" t="s">
        <v>176</v>
      </c>
      <c r="W10" s="171" t="s">
        <v>177</v>
      </c>
    </row>
    <row r="11" spans="1:23" x14ac:dyDescent="0.25">
      <c r="T11" s="171" t="s">
        <v>178</v>
      </c>
      <c r="U11" s="171" t="s">
        <v>179</v>
      </c>
      <c r="V11" s="171" t="s">
        <v>180</v>
      </c>
      <c r="W11" s="171" t="s">
        <v>181</v>
      </c>
    </row>
    <row r="12" spans="1:23" x14ac:dyDescent="0.25">
      <c r="T12" s="171" t="s">
        <v>182</v>
      </c>
      <c r="U12" s="171" t="s">
        <v>183</v>
      </c>
      <c r="V12" s="171" t="s">
        <v>184</v>
      </c>
      <c r="W12" s="171" t="s">
        <v>185</v>
      </c>
    </row>
    <row r="13" spans="1:23" ht="14.4" customHeight="1" x14ac:dyDescent="0.25">
      <c r="T13" s="171" t="s">
        <v>186</v>
      </c>
      <c r="U13" s="171" t="s">
        <v>187</v>
      </c>
      <c r="V13" s="134"/>
      <c r="W13" s="171" t="s">
        <v>188</v>
      </c>
    </row>
    <row r="14" spans="1:23" ht="14.4" customHeight="1" x14ac:dyDescent="0.25">
      <c r="T14" s="171" t="s">
        <v>189</v>
      </c>
      <c r="U14" s="171" t="s">
        <v>190</v>
      </c>
      <c r="V14" s="134"/>
      <c r="W14" s="171" t="s">
        <v>191</v>
      </c>
    </row>
    <row r="15" spans="1:23" ht="14.4" customHeight="1" x14ac:dyDescent="0.25">
      <c r="T15" s="171" t="s">
        <v>192</v>
      </c>
      <c r="U15" s="171" t="s">
        <v>193</v>
      </c>
      <c r="V15" s="134"/>
      <c r="W15" s="171" t="s">
        <v>194</v>
      </c>
    </row>
    <row r="16" spans="1:23" ht="14.4" customHeight="1" x14ac:dyDescent="0.25">
      <c r="T16" s="171" t="s">
        <v>195</v>
      </c>
      <c r="U16" s="171" t="s">
        <v>196</v>
      </c>
      <c r="V16" s="134"/>
      <c r="W16" s="171" t="s">
        <v>197</v>
      </c>
    </row>
    <row r="17" spans="20:23" ht="14.4" customHeight="1" x14ac:dyDescent="0.25">
      <c r="T17" s="171" t="s">
        <v>198</v>
      </c>
      <c r="U17" s="171" t="s">
        <v>199</v>
      </c>
      <c r="V17" s="134"/>
      <c r="W17" s="171" t="s">
        <v>200</v>
      </c>
    </row>
    <row r="18" spans="20:23" ht="14.4" customHeight="1" x14ac:dyDescent="0.25">
      <c r="T18" s="171" t="s">
        <v>201</v>
      </c>
      <c r="U18" s="171" t="s">
        <v>202</v>
      </c>
      <c r="V18" s="134"/>
      <c r="W18" s="171" t="s">
        <v>203</v>
      </c>
    </row>
    <row r="19" spans="20:23" x14ac:dyDescent="0.25">
      <c r="T19" s="171" t="s">
        <v>204</v>
      </c>
      <c r="U19" s="171" t="s">
        <v>205</v>
      </c>
      <c r="V19" s="171"/>
      <c r="W19" s="171" t="s">
        <v>206</v>
      </c>
    </row>
    <row r="20" spans="20:23" x14ac:dyDescent="0.25">
      <c r="T20" s="171" t="s">
        <v>207</v>
      </c>
      <c r="U20" s="171" t="s">
        <v>208</v>
      </c>
      <c r="V20" s="171"/>
      <c r="W20" s="171" t="s">
        <v>209</v>
      </c>
    </row>
    <row r="21" spans="20:23" x14ac:dyDescent="0.25">
      <c r="T21" s="171" t="s">
        <v>210</v>
      </c>
      <c r="U21" s="171" t="s">
        <v>211</v>
      </c>
      <c r="V21" s="171"/>
      <c r="W21" s="171" t="s">
        <v>212</v>
      </c>
    </row>
    <row r="22" spans="20:23" x14ac:dyDescent="0.25">
      <c r="T22" s="171" t="s">
        <v>213</v>
      </c>
      <c r="U22" s="171" t="s">
        <v>214</v>
      </c>
      <c r="V22" s="171"/>
      <c r="W22" s="171" t="s">
        <v>215</v>
      </c>
    </row>
    <row r="23" spans="20:23" x14ac:dyDescent="0.25">
      <c r="T23" s="171" t="s">
        <v>216</v>
      </c>
      <c r="U23" s="171" t="s">
        <v>217</v>
      </c>
      <c r="V23" s="171"/>
      <c r="W23" s="171" t="s">
        <v>218</v>
      </c>
    </row>
    <row r="24" spans="20:23" x14ac:dyDescent="0.25">
      <c r="T24" s="171" t="s">
        <v>219</v>
      </c>
      <c r="U24" s="171" t="s">
        <v>220</v>
      </c>
      <c r="V24" s="171"/>
      <c r="W24" s="171" t="s">
        <v>221</v>
      </c>
    </row>
    <row r="25" spans="20:23" x14ac:dyDescent="0.25">
      <c r="U25" s="171" t="s">
        <v>222</v>
      </c>
      <c r="V25" s="171"/>
      <c r="W25" s="171" t="s">
        <v>223</v>
      </c>
    </row>
    <row r="26" spans="20:23" x14ac:dyDescent="0.25">
      <c r="T26" s="171"/>
      <c r="U26" s="171" t="s">
        <v>224</v>
      </c>
      <c r="V26" s="171"/>
      <c r="W26" s="171" t="s">
        <v>225</v>
      </c>
    </row>
    <row r="27" spans="20:23" x14ac:dyDescent="0.25">
      <c r="T27" s="173" t="s">
        <v>226</v>
      </c>
      <c r="U27" s="171" t="s">
        <v>227</v>
      </c>
      <c r="V27" s="171"/>
      <c r="W27" s="171" t="s">
        <v>228</v>
      </c>
    </row>
    <row r="28" spans="20:23" x14ac:dyDescent="0.25">
      <c r="T28" s="171" t="s">
        <v>229</v>
      </c>
      <c r="U28" s="171" t="s">
        <v>230</v>
      </c>
      <c r="V28" s="171"/>
      <c r="W28" s="171" t="s">
        <v>231</v>
      </c>
    </row>
    <row r="29" spans="20:23" x14ac:dyDescent="0.25">
      <c r="T29" s="171" t="s">
        <v>232</v>
      </c>
      <c r="U29" s="171" t="s">
        <v>233</v>
      </c>
      <c r="V29" s="171"/>
      <c r="W29" s="171" t="s">
        <v>234</v>
      </c>
    </row>
    <row r="30" spans="20:23" x14ac:dyDescent="0.25">
      <c r="U30" s="171" t="s">
        <v>235</v>
      </c>
      <c r="V30" s="171"/>
      <c r="W30" s="171" t="s">
        <v>236</v>
      </c>
    </row>
    <row r="31" spans="20:23" x14ac:dyDescent="0.25">
      <c r="T31" s="171"/>
      <c r="U31" s="171" t="s">
        <v>237</v>
      </c>
      <c r="V31" s="171"/>
      <c r="W31" s="171" t="s">
        <v>238</v>
      </c>
    </row>
    <row r="32" spans="20:23" x14ac:dyDescent="0.25">
      <c r="U32" s="171" t="s">
        <v>239</v>
      </c>
      <c r="V32" s="171"/>
      <c r="W32" s="171" t="s">
        <v>240</v>
      </c>
    </row>
    <row r="33" spans="20:23" x14ac:dyDescent="0.25">
      <c r="U33" s="171" t="s">
        <v>241</v>
      </c>
      <c r="V33" s="171"/>
      <c r="W33" s="171"/>
    </row>
    <row r="34" spans="20:23" x14ac:dyDescent="0.25">
      <c r="U34" s="171" t="s">
        <v>242</v>
      </c>
      <c r="V34" s="171"/>
      <c r="W34" s="171"/>
    </row>
    <row r="35" spans="20:23" x14ac:dyDescent="0.25">
      <c r="U35" s="171" t="s">
        <v>243</v>
      </c>
      <c r="V35" s="171"/>
      <c r="W35" s="171"/>
    </row>
    <row r="36" spans="20:23" x14ac:dyDescent="0.25">
      <c r="U36" s="171" t="s">
        <v>244</v>
      </c>
      <c r="V36" s="171"/>
      <c r="W36" s="171"/>
    </row>
    <row r="37" spans="20:23" x14ac:dyDescent="0.25">
      <c r="U37" s="171" t="s">
        <v>245</v>
      </c>
      <c r="V37" s="171"/>
      <c r="W37" s="171"/>
    </row>
    <row r="38" spans="20:23" x14ac:dyDescent="0.25">
      <c r="U38" s="171" t="s">
        <v>246</v>
      </c>
      <c r="V38" s="171"/>
      <c r="W38" s="171"/>
    </row>
    <row r="39" spans="20:23" x14ac:dyDescent="0.25">
      <c r="U39" s="171" t="s">
        <v>247</v>
      </c>
      <c r="V39" s="171"/>
      <c r="W39" s="171"/>
    </row>
    <row r="40" spans="20:23" x14ac:dyDescent="0.25">
      <c r="U40" s="171" t="s">
        <v>248</v>
      </c>
      <c r="V40" s="171"/>
      <c r="W40" s="171"/>
    </row>
    <row r="41" spans="20:23" x14ac:dyDescent="0.25">
      <c r="U41" s="171" t="s">
        <v>249</v>
      </c>
      <c r="V41" s="171"/>
      <c r="W41" s="171"/>
    </row>
    <row r="42" spans="20:23" x14ac:dyDescent="0.25">
      <c r="U42" s="171" t="s">
        <v>250</v>
      </c>
      <c r="V42" s="171"/>
      <c r="W42" s="171"/>
    </row>
    <row r="43" spans="20:23" x14ac:dyDescent="0.25">
      <c r="U43" s="171" t="s">
        <v>251</v>
      </c>
      <c r="V43" s="171"/>
      <c r="W43" s="171"/>
    </row>
    <row r="44" spans="20:23" x14ac:dyDescent="0.25">
      <c r="U44" s="171" t="s">
        <v>252</v>
      </c>
      <c r="V44" s="171"/>
      <c r="W44" s="171"/>
    </row>
    <row r="45" spans="20:23" x14ac:dyDescent="0.25">
      <c r="U45" s="171" t="s">
        <v>253</v>
      </c>
      <c r="V45" s="171"/>
      <c r="W45" s="171"/>
    </row>
    <row r="46" spans="20:23" x14ac:dyDescent="0.25">
      <c r="T46" s="171"/>
      <c r="U46" s="171" t="s">
        <v>254</v>
      </c>
      <c r="V46" s="171"/>
      <c r="W46" s="171"/>
    </row>
    <row r="47" spans="20:23" x14ac:dyDescent="0.25">
      <c r="T47" s="171"/>
      <c r="U47" s="171" t="s">
        <v>255</v>
      </c>
      <c r="V47" s="171"/>
      <c r="W47" s="171"/>
    </row>
    <row r="48" spans="20:23" x14ac:dyDescent="0.25">
      <c r="T48" s="171"/>
      <c r="U48" s="171" t="s">
        <v>256</v>
      </c>
      <c r="V48" s="171"/>
      <c r="W48" s="171"/>
    </row>
    <row r="49" spans="20:23" x14ac:dyDescent="0.25">
      <c r="T49" s="171"/>
      <c r="U49" s="171" t="s">
        <v>257</v>
      </c>
      <c r="V49" s="171"/>
      <c r="W49" s="171"/>
    </row>
    <row r="50" spans="20:23" x14ac:dyDescent="0.25">
      <c r="T50" s="171"/>
      <c r="U50" s="171" t="s">
        <v>258</v>
      </c>
      <c r="V50" s="171"/>
      <c r="W50" s="171"/>
    </row>
    <row r="51" spans="20:23" x14ac:dyDescent="0.25">
      <c r="T51" s="171"/>
      <c r="U51" s="171" t="s">
        <v>259</v>
      </c>
      <c r="V51" s="171"/>
      <c r="W51" s="171"/>
    </row>
    <row r="52" spans="20:23" x14ac:dyDescent="0.25">
      <c r="T52" s="171"/>
      <c r="U52" s="171" t="s">
        <v>260</v>
      </c>
      <c r="V52" s="171"/>
      <c r="W52" s="171"/>
    </row>
    <row r="53" spans="20:23" x14ac:dyDescent="0.25">
      <c r="T53" s="171"/>
      <c r="U53" s="171" t="s">
        <v>261</v>
      </c>
      <c r="V53" s="171"/>
      <c r="W53" s="171"/>
    </row>
    <row r="54" spans="20:23" x14ac:dyDescent="0.25">
      <c r="T54" s="171"/>
      <c r="U54" s="171" t="s">
        <v>262</v>
      </c>
      <c r="V54" s="171"/>
      <c r="W54" s="171"/>
    </row>
    <row r="55" spans="20:23" x14ac:dyDescent="0.25">
      <c r="T55" s="171"/>
      <c r="U55" s="171" t="s">
        <v>263</v>
      </c>
      <c r="V55" s="171"/>
      <c r="W55" s="171"/>
    </row>
    <row r="56" spans="20:23" x14ac:dyDescent="0.25">
      <c r="T56" s="171"/>
      <c r="U56" s="171" t="s">
        <v>264</v>
      </c>
      <c r="V56" s="171"/>
      <c r="W56" s="171"/>
    </row>
    <row r="57" spans="20:23" x14ac:dyDescent="0.25">
      <c r="T57" s="171"/>
      <c r="U57" s="171" t="s">
        <v>265</v>
      </c>
      <c r="V57" s="171"/>
      <c r="W57" s="171"/>
    </row>
    <row r="58" spans="20:23" x14ac:dyDescent="0.25">
      <c r="T58" s="171"/>
      <c r="U58" s="171" t="s">
        <v>266</v>
      </c>
      <c r="V58" s="171"/>
      <c r="W58" s="171"/>
    </row>
    <row r="59" spans="20:23" x14ac:dyDescent="0.25">
      <c r="T59" s="171"/>
      <c r="U59" s="171" t="s">
        <v>267</v>
      </c>
      <c r="V59" s="171"/>
      <c r="W59" s="171"/>
    </row>
    <row r="60" spans="20:23" x14ac:dyDescent="0.25">
      <c r="T60" s="171"/>
      <c r="U60" s="171" t="s">
        <v>268</v>
      </c>
      <c r="V60" s="171"/>
      <c r="W60" s="171"/>
    </row>
    <row r="61" spans="20:23" x14ac:dyDescent="0.25">
      <c r="T61" s="171"/>
      <c r="U61" s="171" t="s">
        <v>269</v>
      </c>
      <c r="V61" s="171"/>
      <c r="W61" s="171"/>
    </row>
    <row r="62" spans="20:23" x14ac:dyDescent="0.25">
      <c r="T62" s="171"/>
      <c r="U62" s="171" t="s">
        <v>270</v>
      </c>
      <c r="V62" s="171"/>
      <c r="W62" s="171"/>
    </row>
    <row r="63" spans="20:23" x14ac:dyDescent="0.25">
      <c r="T63" s="171"/>
      <c r="U63" s="171" t="s">
        <v>271</v>
      </c>
      <c r="V63" s="171"/>
      <c r="W63" s="171"/>
    </row>
    <row r="64" spans="20:23" x14ac:dyDescent="0.25">
      <c r="T64" s="171"/>
      <c r="U64" s="171" t="s">
        <v>272</v>
      </c>
      <c r="V64" s="171"/>
      <c r="W64" s="171"/>
    </row>
    <row r="65" spans="20:23" x14ac:dyDescent="0.25">
      <c r="T65" s="171"/>
      <c r="U65" s="171" t="s">
        <v>273</v>
      </c>
      <c r="V65" s="171"/>
      <c r="W65" s="171"/>
    </row>
    <row r="66" spans="20:23" x14ac:dyDescent="0.25">
      <c r="T66" s="171"/>
      <c r="U66" s="171" t="s">
        <v>274</v>
      </c>
      <c r="V66" s="171"/>
      <c r="W66" s="171"/>
    </row>
    <row r="67" spans="20:23" x14ac:dyDescent="0.25">
      <c r="T67" s="171"/>
      <c r="U67" s="171" t="s">
        <v>275</v>
      </c>
      <c r="V67" s="171"/>
      <c r="W67" s="171"/>
    </row>
    <row r="68" spans="20:23" x14ac:dyDescent="0.25">
      <c r="T68" s="171"/>
      <c r="U68" s="171" t="s">
        <v>276</v>
      </c>
      <c r="V68" s="171"/>
      <c r="W68" s="171"/>
    </row>
    <row r="69" spans="20:23" x14ac:dyDescent="0.25">
      <c r="T69" s="171"/>
      <c r="U69" s="171" t="s">
        <v>277</v>
      </c>
      <c r="V69" s="171"/>
      <c r="W69" s="171"/>
    </row>
    <row r="70" spans="20:23" x14ac:dyDescent="0.25">
      <c r="T70" s="171"/>
      <c r="U70" s="171" t="s">
        <v>278</v>
      </c>
      <c r="V70" s="171"/>
      <c r="W70" s="171"/>
    </row>
    <row r="71" spans="20:23" x14ac:dyDescent="0.25">
      <c r="T71" s="171"/>
      <c r="U71" s="171" t="s">
        <v>279</v>
      </c>
      <c r="V71" s="171"/>
      <c r="W71" s="171"/>
    </row>
    <row r="72" spans="20:23" x14ac:dyDescent="0.25">
      <c r="T72" s="171"/>
      <c r="U72" s="171" t="s">
        <v>280</v>
      </c>
      <c r="V72" s="171"/>
      <c r="W72" s="171"/>
    </row>
    <row r="73" spans="20:23" x14ac:dyDescent="0.25">
      <c r="T73" s="171"/>
      <c r="U73" s="171" t="s">
        <v>281</v>
      </c>
      <c r="V73" s="171"/>
      <c r="W73" s="171"/>
    </row>
    <row r="74" spans="20:23" x14ac:dyDescent="0.25">
      <c r="T74" s="171"/>
      <c r="U74" s="171" t="s">
        <v>282</v>
      </c>
      <c r="V74" s="171"/>
      <c r="W74" s="171"/>
    </row>
    <row r="75" spans="20:23" x14ac:dyDescent="0.25">
      <c r="T75" s="171"/>
      <c r="U75" s="171" t="s">
        <v>283</v>
      </c>
      <c r="V75" s="171"/>
      <c r="W75" s="171"/>
    </row>
    <row r="76" spans="20:23" x14ac:dyDescent="0.25">
      <c r="T76" s="171"/>
      <c r="U76" s="171" t="s">
        <v>284</v>
      </c>
      <c r="V76" s="171"/>
      <c r="W76" s="171"/>
    </row>
    <row r="77" spans="20:23" x14ac:dyDescent="0.25">
      <c r="T77" s="171"/>
      <c r="U77" s="171" t="s">
        <v>285</v>
      </c>
      <c r="V77" s="171"/>
      <c r="W77" s="171"/>
    </row>
    <row r="78" spans="20:23" x14ac:dyDescent="0.25">
      <c r="T78" s="171"/>
      <c r="U78" s="171" t="s">
        <v>286</v>
      </c>
      <c r="V78" s="171"/>
      <c r="W78" s="171"/>
    </row>
    <row r="79" spans="20:23" x14ac:dyDescent="0.25">
      <c r="T79" s="171"/>
      <c r="U79" s="171" t="s">
        <v>287</v>
      </c>
      <c r="V79" s="171"/>
      <c r="W79" s="171"/>
    </row>
    <row r="80" spans="20:23" x14ac:dyDescent="0.25">
      <c r="T80" s="171"/>
      <c r="U80" s="171" t="s">
        <v>288</v>
      </c>
      <c r="V80" s="171"/>
      <c r="W80" s="171"/>
    </row>
    <row r="81" spans="20:23" x14ac:dyDescent="0.25">
      <c r="T81" s="171"/>
      <c r="U81" s="171"/>
      <c r="V81" s="171"/>
      <c r="W81" s="171"/>
    </row>
    <row r="82" spans="20:23" ht="13.8" customHeight="1" x14ac:dyDescent="0.25">
      <c r="U82" s="137"/>
    </row>
    <row r="83" spans="20:23" ht="13.8" customHeight="1" x14ac:dyDescent="0.25">
      <c r="U83" s="137"/>
    </row>
    <row r="84" spans="20:23" ht="13.8" customHeight="1" x14ac:dyDescent="0.25">
      <c r="U84" s="137"/>
    </row>
    <row r="85" spans="20:23" ht="13.8" customHeight="1" x14ac:dyDescent="0.25">
      <c r="U85" s="137"/>
    </row>
    <row r="86" spans="20:23" ht="13.8" customHeight="1" x14ac:dyDescent="0.25">
      <c r="U86" s="137"/>
    </row>
    <row r="87" spans="20:23" ht="13.8" customHeight="1" x14ac:dyDescent="0.25">
      <c r="U87" s="137"/>
    </row>
    <row r="88" spans="20:23" ht="13.8" customHeight="1" x14ac:dyDescent="0.25">
      <c r="U88" s="137"/>
    </row>
    <row r="89" spans="20:23" ht="13.8" customHeight="1" x14ac:dyDescent="0.25">
      <c r="U89" s="137"/>
    </row>
    <row r="90" spans="20:23" ht="13.8" customHeight="1" x14ac:dyDescent="0.25">
      <c r="U90" s="137"/>
    </row>
    <row r="91" spans="20:23" ht="13.8" customHeight="1" x14ac:dyDescent="0.25">
      <c r="U91" s="137"/>
    </row>
    <row r="92" spans="20:23" ht="13.8" customHeight="1" x14ac:dyDescent="0.25">
      <c r="U92" s="137"/>
    </row>
    <row r="93" spans="20:23" ht="13.8" customHeight="1" x14ac:dyDescent="0.25">
      <c r="U93" s="137"/>
    </row>
    <row r="94" spans="20:23" ht="13.8" customHeight="1" x14ac:dyDescent="0.25">
      <c r="U94" s="137"/>
    </row>
    <row r="95" spans="20:23" ht="13.8" customHeight="1" x14ac:dyDescent="0.25">
      <c r="U95" s="137"/>
    </row>
    <row r="96" spans="20:23" ht="13.8" customHeight="1" x14ac:dyDescent="0.25">
      <c r="U96" s="137"/>
    </row>
    <row r="97" spans="21:21" ht="13.8" customHeight="1" x14ac:dyDescent="0.25">
      <c r="U97" s="137"/>
    </row>
    <row r="98" spans="21:21" ht="13.8" customHeight="1" x14ac:dyDescent="0.25">
      <c r="U98" s="137"/>
    </row>
    <row r="99" spans="21:21" ht="13.8" customHeight="1" x14ac:dyDescent="0.25">
      <c r="U99" s="137"/>
    </row>
    <row r="100" spans="21:21" ht="13.8" customHeight="1" x14ac:dyDescent="0.25">
      <c r="U100" s="137"/>
    </row>
    <row r="101" spans="21:21" ht="13.8" customHeight="1" x14ac:dyDescent="0.25">
      <c r="U101" s="137"/>
    </row>
    <row r="102" spans="21:21" ht="13.8" customHeight="1" x14ac:dyDescent="0.25">
      <c r="U102" s="137"/>
    </row>
    <row r="103" spans="21:21" ht="13.8" customHeight="1" x14ac:dyDescent="0.25">
      <c r="U103" s="137"/>
    </row>
    <row r="104" spans="21:21" ht="13.8" customHeight="1" x14ac:dyDescent="0.25">
      <c r="U104" s="137"/>
    </row>
    <row r="105" spans="21:21" ht="13.8" customHeight="1" x14ac:dyDescent="0.25">
      <c r="U105" s="137"/>
    </row>
    <row r="106" spans="21:21" ht="13.8" customHeight="1" x14ac:dyDescent="0.25">
      <c r="U106" s="137"/>
    </row>
    <row r="107" spans="21:21" ht="13.8" customHeight="1" x14ac:dyDescent="0.25">
      <c r="U107" s="137"/>
    </row>
    <row r="108" spans="21:21" ht="13.8" customHeight="1" x14ac:dyDescent="0.25">
      <c r="U108" s="137"/>
    </row>
    <row r="109" spans="21:21" ht="13.8" customHeight="1" x14ac:dyDescent="0.25">
      <c r="U109" s="137"/>
    </row>
  </sheetData>
  <mergeCells count="1">
    <mergeCell ref="A4:B4"/>
  </mergeCells>
  <conditionalFormatting sqref="U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:W3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3:V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40:U5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4:V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7:U28 U30:U34 U36:U39 U6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4:U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5 T27:T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4"/>
  <sheetViews>
    <sheetView workbookViewId="0">
      <selection activeCell="A5" sqref="A5"/>
    </sheetView>
  </sheetViews>
  <sheetFormatPr defaultColWidth="10.88671875" defaultRowHeight="13.2" x14ac:dyDescent="0.25"/>
  <cols>
    <col min="1" max="1" width="22.5546875" style="174" bestFit="1" customWidth="1"/>
    <col min="2" max="2" width="25.44140625" style="174" bestFit="1" customWidth="1"/>
    <col min="3" max="4" width="25.109375" style="174" bestFit="1" customWidth="1"/>
    <col min="5" max="5" width="12.44140625" style="174" bestFit="1" customWidth="1"/>
    <col min="6" max="6" width="10.88671875" style="174" customWidth="1"/>
    <col min="7" max="8" width="13.4414062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289</v>
      </c>
      <c r="C2" s="171" t="s">
        <v>290</v>
      </c>
      <c r="D2" s="171" t="s">
        <v>291</v>
      </c>
      <c r="E2" s="171" t="s">
        <v>292</v>
      </c>
      <c r="F2" s="171" t="s">
        <v>293</v>
      </c>
      <c r="G2" s="171" t="s">
        <v>294</v>
      </c>
      <c r="H2" s="171" t="s">
        <v>295</v>
      </c>
      <c r="I2" s="171" t="s">
        <v>296</v>
      </c>
    </row>
    <row r="4" spans="1:9" x14ac:dyDescent="0.25">
      <c r="A4" s="300" t="s">
        <v>149</v>
      </c>
      <c r="B4" s="202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4"/>
  <sheetViews>
    <sheetView workbookViewId="0">
      <selection activeCell="A4" sqref="A4:B4"/>
    </sheetView>
  </sheetViews>
  <sheetFormatPr defaultColWidth="10.88671875" defaultRowHeight="13.2" x14ac:dyDescent="0.25"/>
  <cols>
    <col min="1" max="2" width="22.5546875" style="174" bestFit="1" customWidth="1"/>
    <col min="3" max="3" width="8.44140625" style="174" bestFit="1" customWidth="1"/>
    <col min="4" max="4" width="20.44140625" style="174" bestFit="1" customWidth="1"/>
    <col min="5" max="7" width="10.88671875" style="174" customWidth="1"/>
    <col min="8" max="8" width="8.5546875" style="174" bestFit="1" customWidth="1"/>
    <col min="9" max="9" width="8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289</v>
      </c>
      <c r="C2" s="171" t="s">
        <v>297</v>
      </c>
      <c r="D2" s="171" t="s">
        <v>298</v>
      </c>
      <c r="E2" s="171"/>
      <c r="F2" s="171"/>
      <c r="G2" s="171"/>
      <c r="H2" s="171" t="s">
        <v>299</v>
      </c>
      <c r="I2" s="171" t="s">
        <v>300</v>
      </c>
    </row>
    <row r="4" spans="1:9" x14ac:dyDescent="0.25">
      <c r="A4" s="300" t="s">
        <v>149</v>
      </c>
      <c r="B4" s="202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W17"/>
  <sheetViews>
    <sheetView workbookViewId="0">
      <selection activeCell="A5" sqref="A5"/>
    </sheetView>
  </sheetViews>
  <sheetFormatPr defaultColWidth="10.88671875" defaultRowHeight="13.2" x14ac:dyDescent="0.25"/>
  <cols>
    <col min="1" max="2" width="22.5546875" style="174" bestFit="1" customWidth="1"/>
    <col min="3" max="3" width="27" style="174" bestFit="1" customWidth="1"/>
    <col min="4" max="4" width="28.5546875" style="174" bestFit="1" customWidth="1"/>
    <col min="5" max="5" width="12.44140625" style="174" bestFit="1" customWidth="1"/>
    <col min="6" max="6" width="9.5546875" style="174" bestFit="1" customWidth="1"/>
    <col min="7" max="7" width="10.44140625" style="174" bestFit="1" customWidth="1"/>
    <col min="8" max="8" width="21.5546875" style="174" bestFit="1" customWidth="1"/>
    <col min="9" max="9" width="9.554687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289</v>
      </c>
      <c r="C2" s="171" t="s">
        <v>290</v>
      </c>
      <c r="D2" s="171" t="s">
        <v>301</v>
      </c>
      <c r="E2" s="171" t="s">
        <v>292</v>
      </c>
      <c r="F2" s="171" t="s">
        <v>293</v>
      </c>
      <c r="G2" s="171" t="s">
        <v>302</v>
      </c>
      <c r="H2" s="171" t="s">
        <v>303</v>
      </c>
      <c r="I2" s="171" t="s">
        <v>296</v>
      </c>
    </row>
    <row r="4" spans="1:9" x14ac:dyDescent="0.25">
      <c r="A4" s="300" t="s">
        <v>149</v>
      </c>
      <c r="B4" s="202"/>
    </row>
    <row r="5" spans="1:9" x14ac:dyDescent="0.25">
      <c r="A5" s="171" t="s">
        <v>304</v>
      </c>
      <c r="B5" s="15"/>
      <c r="D5" s="15" t="s">
        <v>305</v>
      </c>
      <c r="E5" s="15"/>
      <c r="H5" s="15" t="s">
        <v>306</v>
      </c>
    </row>
    <row r="6" spans="1:9" x14ac:dyDescent="0.25">
      <c r="A6" s="171" t="s">
        <v>307</v>
      </c>
      <c r="B6" s="15"/>
      <c r="D6" s="15" t="s">
        <v>308</v>
      </c>
      <c r="H6" s="15" t="s">
        <v>309</v>
      </c>
    </row>
    <row r="7" spans="1:9" x14ac:dyDescent="0.25">
      <c r="A7" s="171" t="s">
        <v>78</v>
      </c>
      <c r="B7" s="15"/>
      <c r="D7" s="15" t="s">
        <v>310</v>
      </c>
      <c r="H7" s="15" t="s">
        <v>311</v>
      </c>
    </row>
    <row r="8" spans="1:9" x14ac:dyDescent="0.25">
      <c r="A8" s="171" t="s">
        <v>312</v>
      </c>
      <c r="B8" s="15"/>
      <c r="C8" s="15" t="s">
        <v>313</v>
      </c>
    </row>
    <row r="9" spans="1:9" x14ac:dyDescent="0.25">
      <c r="A9" s="171" t="s">
        <v>314</v>
      </c>
      <c r="B9" s="15"/>
      <c r="C9" s="15" t="s">
        <v>310</v>
      </c>
      <c r="H9" s="15" t="s">
        <v>315</v>
      </c>
    </row>
    <row r="17" spans="78:127" x14ac:dyDescent="0.25">
      <c r="BZ17" s="14"/>
      <c r="CG17" s="14"/>
      <c r="CN17" s="14"/>
      <c r="CU17" s="14"/>
      <c r="DB17" s="14"/>
      <c r="DI17" s="14"/>
      <c r="DP17" s="14"/>
      <c r="DW17" s="14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4"/>
  <sheetViews>
    <sheetView workbookViewId="0"/>
  </sheetViews>
  <sheetFormatPr defaultColWidth="10.88671875" defaultRowHeight="13.2" x14ac:dyDescent="0.25"/>
  <cols>
    <col min="1" max="6" width="10.88671875" style="174" customWidth="1"/>
    <col min="7" max="7" width="14.554687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316</v>
      </c>
      <c r="C2" s="171" t="s">
        <v>317</v>
      </c>
      <c r="D2" s="171"/>
      <c r="E2" s="171"/>
      <c r="F2" s="171"/>
      <c r="G2" s="171"/>
      <c r="H2" s="171" t="s">
        <v>318</v>
      </c>
      <c r="I2" s="171"/>
    </row>
    <row r="4" spans="1:9" x14ac:dyDescent="0.25">
      <c r="A4" s="300" t="s">
        <v>149</v>
      </c>
      <c r="B4" s="202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5"/>
  <sheetViews>
    <sheetView workbookViewId="0"/>
  </sheetViews>
  <sheetFormatPr defaultColWidth="10.88671875" defaultRowHeight="13.2" x14ac:dyDescent="0.25"/>
  <cols>
    <col min="1" max="1" width="10.88671875" style="174" customWidth="1"/>
    <col min="2" max="2" width="22.5546875" style="174" bestFit="1" customWidth="1"/>
    <col min="3" max="6" width="10.88671875" style="174" customWidth="1"/>
    <col min="7" max="7" width="14.554687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289</v>
      </c>
      <c r="C2" s="171"/>
      <c r="D2" s="171"/>
      <c r="E2" s="171"/>
      <c r="F2" s="171"/>
      <c r="G2" s="171"/>
      <c r="H2" s="171"/>
      <c r="I2" s="171"/>
    </row>
    <row r="4" spans="1:9" x14ac:dyDescent="0.25">
      <c r="A4" s="300" t="s">
        <v>149</v>
      </c>
      <c r="B4" s="202"/>
    </row>
    <row r="5" spans="1:9" x14ac:dyDescent="0.25">
      <c r="A5" s="15"/>
      <c r="B5" s="15" t="s">
        <v>319</v>
      </c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4"/>
  <sheetViews>
    <sheetView workbookViewId="0"/>
  </sheetViews>
  <sheetFormatPr defaultColWidth="10.88671875" defaultRowHeight="13.2" x14ac:dyDescent="0.25"/>
  <cols>
    <col min="1" max="6" width="10.88671875" style="174" customWidth="1"/>
    <col min="7" max="7" width="14.554687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320</v>
      </c>
      <c r="C2" s="171" t="s">
        <v>321</v>
      </c>
      <c r="D2" s="171" t="s">
        <v>322</v>
      </c>
      <c r="E2" s="171" t="s">
        <v>323</v>
      </c>
      <c r="F2" s="171" t="s">
        <v>324</v>
      </c>
      <c r="G2" s="171"/>
      <c r="H2" s="171" t="s">
        <v>299</v>
      </c>
      <c r="I2" s="171" t="s">
        <v>300</v>
      </c>
    </row>
    <row r="4" spans="1:9" x14ac:dyDescent="0.25">
      <c r="A4" s="300" t="s">
        <v>149</v>
      </c>
      <c r="B4" s="202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4"/>
  <sheetViews>
    <sheetView workbookViewId="0"/>
  </sheetViews>
  <sheetFormatPr defaultColWidth="10.88671875" defaultRowHeight="13.2" x14ac:dyDescent="0.25"/>
  <cols>
    <col min="1" max="6" width="10.88671875" style="174" customWidth="1"/>
    <col min="7" max="7" width="14.5546875" style="174" bestFit="1" customWidth="1"/>
  </cols>
  <sheetData>
    <row r="1" spans="1:9" x14ac:dyDescent="0.25">
      <c r="B1" s="173" t="s">
        <v>135</v>
      </c>
      <c r="C1" s="173" t="s">
        <v>136</v>
      </c>
      <c r="D1" s="173" t="s">
        <v>137</v>
      </c>
      <c r="E1" s="173" t="s">
        <v>138</v>
      </c>
      <c r="F1" s="173" t="s">
        <v>139</v>
      </c>
      <c r="G1" s="173" t="s">
        <v>140</v>
      </c>
      <c r="H1" s="173" t="s">
        <v>141</v>
      </c>
      <c r="I1" s="173" t="s">
        <v>142</v>
      </c>
    </row>
    <row r="2" spans="1:9" x14ac:dyDescent="0.25">
      <c r="B2" s="171" t="s">
        <v>325</v>
      </c>
      <c r="C2" s="171" t="s">
        <v>326</v>
      </c>
      <c r="D2" t="s">
        <v>326</v>
      </c>
      <c r="E2" s="171"/>
      <c r="F2" s="171"/>
      <c r="G2" s="171"/>
      <c r="H2" s="171" t="s">
        <v>299</v>
      </c>
      <c r="I2" s="171" t="s">
        <v>300</v>
      </c>
    </row>
    <row r="4" spans="1:9" x14ac:dyDescent="0.25">
      <c r="A4" s="300" t="s">
        <v>149</v>
      </c>
      <c r="B4" s="202"/>
    </row>
  </sheetData>
  <mergeCells count="1">
    <mergeCell ref="A4:B4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AT113"/>
  <sheetViews>
    <sheetView showGridLines="0" zoomScaleNormal="100" zoomScaleSheetLayoutView="115" workbookViewId="0">
      <selection activeCell="B89" sqref="B89:B90"/>
    </sheetView>
  </sheetViews>
  <sheetFormatPr defaultColWidth="3.5546875" defaultRowHeight="13.2" x14ac:dyDescent="0.25"/>
  <sheetData>
    <row r="1" spans="1:46" x14ac:dyDescent="0.25">
      <c r="A1" s="121"/>
    </row>
    <row r="2" spans="1:46" x14ac:dyDescent="0.25">
      <c r="A2" s="20" t="s">
        <v>327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22"/>
      <c r="AG2" s="20" t="s">
        <v>328</v>
      </c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</row>
    <row r="3" spans="1:46" x14ac:dyDescent="0.25">
      <c r="A3" s="21"/>
      <c r="B3" s="21"/>
      <c r="C3" s="21"/>
      <c r="D3" s="21"/>
      <c r="E3" s="21"/>
      <c r="F3" s="21"/>
      <c r="G3" s="21"/>
      <c r="H3" s="21"/>
      <c r="I3" s="21" t="s">
        <v>329</v>
      </c>
      <c r="J3" s="21"/>
      <c r="K3" s="21"/>
      <c r="L3" s="21" t="s">
        <v>330</v>
      </c>
      <c r="M3" s="21"/>
      <c r="N3" s="21"/>
      <c r="O3" s="21" t="s">
        <v>331</v>
      </c>
      <c r="P3" s="21"/>
      <c r="Q3" s="21"/>
      <c r="R3" s="21" t="s">
        <v>332</v>
      </c>
      <c r="S3" s="21"/>
      <c r="T3" s="21"/>
      <c r="U3" s="21" t="s">
        <v>333</v>
      </c>
      <c r="V3" s="21"/>
      <c r="W3" s="21"/>
      <c r="X3" s="21" t="s">
        <v>334</v>
      </c>
      <c r="Y3" s="21"/>
      <c r="Z3" s="21"/>
      <c r="AA3" s="21" t="s">
        <v>335</v>
      </c>
      <c r="AB3" s="21"/>
      <c r="AC3" s="21"/>
      <c r="AD3" s="21" t="s">
        <v>336</v>
      </c>
      <c r="AE3" s="21"/>
      <c r="AF3" s="69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"/>
      <c r="B4" s="14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69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x14ac:dyDescent="0.25">
      <c r="A5" s="14"/>
      <c r="B5" s="14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69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x14ac:dyDescent="0.25">
      <c r="A6" s="14"/>
      <c r="B6" s="14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69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x14ac:dyDescent="0.25">
      <c r="A7" s="14"/>
      <c r="B7" s="14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69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14"/>
      <c r="B8" s="14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9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14"/>
      <c r="B9" s="14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9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14"/>
      <c r="B10" s="14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69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14"/>
      <c r="B11" s="14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69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x14ac:dyDescent="0.25">
      <c r="A12" s="14"/>
      <c r="B12" s="14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69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x14ac:dyDescent="0.25">
      <c r="A13" s="14"/>
      <c r="B13" s="14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69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x14ac:dyDescent="0.25">
      <c r="A14" s="14"/>
      <c r="B14" s="14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69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x14ac:dyDescent="0.25">
      <c r="A15" s="14"/>
      <c r="B15" s="14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"/>
      <c r="B16" s="14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"/>
      <c r="B17" s="14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</row>
    <row r="18" spans="1:46" x14ac:dyDescent="0.25">
      <c r="A18" s="125" t="s">
        <v>337</v>
      </c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</row>
    <row r="19" spans="1:46" x14ac:dyDescent="0.25">
      <c r="A19" s="124" t="s">
        <v>338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20" t="s">
        <v>339</v>
      </c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x14ac:dyDescent="0.25">
      <c r="A20" s="22" t="s">
        <v>340</v>
      </c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69"/>
      <c r="AG20" s="14" t="s">
        <v>341</v>
      </c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x14ac:dyDescent="0.25">
      <c r="A21" s="31"/>
      <c r="B21" s="23" t="s">
        <v>342</v>
      </c>
      <c r="C21" s="24"/>
      <c r="D21" s="23" t="s">
        <v>343</v>
      </c>
      <c r="E21" s="25"/>
      <c r="F21" s="25"/>
      <c r="G21" s="25"/>
      <c r="H21" s="25"/>
      <c r="I21" s="25"/>
      <c r="J21" s="25"/>
      <c r="K21" s="24"/>
      <c r="L21" s="23" t="s">
        <v>344</v>
      </c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4"/>
      <c r="AF21" s="69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x14ac:dyDescent="0.25">
      <c r="A22" s="31"/>
      <c r="B22" s="26" t="s">
        <v>329</v>
      </c>
      <c r="C22" s="27"/>
      <c r="D22" s="26" t="s">
        <v>345</v>
      </c>
      <c r="E22" s="28"/>
      <c r="F22" s="28"/>
      <c r="G22" s="28"/>
      <c r="H22" s="28"/>
      <c r="I22" s="28"/>
      <c r="J22" s="28"/>
      <c r="K22" s="27"/>
      <c r="L22" s="28" t="s">
        <v>346</v>
      </c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69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31"/>
      <c r="B23" s="29"/>
      <c r="C23" s="30"/>
      <c r="D23" s="29"/>
      <c r="E23" s="31"/>
      <c r="F23" s="31"/>
      <c r="G23" s="31"/>
      <c r="H23" s="31"/>
      <c r="I23" s="31"/>
      <c r="J23" s="31"/>
      <c r="K23" s="30"/>
      <c r="L23" s="31" t="s">
        <v>347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0"/>
      <c r="AF23" s="69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31"/>
      <c r="B24" s="32"/>
      <c r="C24" s="33"/>
      <c r="D24" s="29"/>
      <c r="E24" s="31"/>
      <c r="F24" s="31"/>
      <c r="G24" s="31"/>
      <c r="H24" s="31"/>
      <c r="I24" s="31"/>
      <c r="J24" s="31"/>
      <c r="K24" s="30"/>
      <c r="L24" s="34" t="s">
        <v>348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3"/>
      <c r="AF24" s="69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31"/>
      <c r="B25" s="26" t="s">
        <v>330</v>
      </c>
      <c r="C25" s="28"/>
      <c r="D25" s="144" t="s">
        <v>349</v>
      </c>
      <c r="E25" s="145"/>
      <c r="F25" s="145"/>
      <c r="G25" s="145"/>
      <c r="H25" s="145"/>
      <c r="I25" s="145"/>
      <c r="J25" s="145"/>
      <c r="K25" s="146"/>
      <c r="L25" s="96" t="s">
        <v>350</v>
      </c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  <c r="AF25" s="69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x14ac:dyDescent="0.25">
      <c r="A26" s="31"/>
      <c r="B26" s="29"/>
      <c r="C26" s="31"/>
      <c r="D26" s="147"/>
      <c r="E26" s="31"/>
      <c r="F26" s="31"/>
      <c r="G26" s="31"/>
      <c r="H26" s="31"/>
      <c r="I26" s="31"/>
      <c r="J26" s="31"/>
      <c r="K26" s="148"/>
      <c r="L26" s="141" t="s">
        <v>351</v>
      </c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0"/>
      <c r="AF26" s="69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x14ac:dyDescent="0.25">
      <c r="A27" s="31"/>
      <c r="B27" s="29"/>
      <c r="C27" s="31"/>
      <c r="D27" s="147"/>
      <c r="E27" s="31"/>
      <c r="F27" s="31"/>
      <c r="G27" s="31"/>
      <c r="H27" s="31"/>
      <c r="I27" s="31"/>
      <c r="J27" s="31"/>
      <c r="K27" s="148"/>
      <c r="L27" s="141" t="s">
        <v>352</v>
      </c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0"/>
      <c r="AF27" s="69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x14ac:dyDescent="0.25">
      <c r="A28" s="31"/>
      <c r="B28" s="29"/>
      <c r="C28" s="31"/>
      <c r="D28" s="149"/>
      <c r="E28" s="150"/>
      <c r="F28" s="150"/>
      <c r="G28" s="150"/>
      <c r="H28" s="150"/>
      <c r="I28" s="150"/>
      <c r="J28" s="150"/>
      <c r="K28" s="151"/>
      <c r="L28" s="141" t="s">
        <v>353</v>
      </c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0"/>
      <c r="AF28" s="69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1"/>
      <c r="B29" s="26" t="s">
        <v>331</v>
      </c>
      <c r="C29" s="27"/>
      <c r="D29" s="29" t="s">
        <v>354</v>
      </c>
      <c r="E29" s="31"/>
      <c r="F29" s="31"/>
      <c r="G29" s="31"/>
      <c r="H29" s="31"/>
      <c r="I29" s="31"/>
      <c r="J29" s="31"/>
      <c r="K29" s="30"/>
      <c r="L29" s="26" t="s">
        <v>355</v>
      </c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7"/>
      <c r="AF29" s="69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1"/>
      <c r="B30" s="32"/>
      <c r="C30" s="33"/>
      <c r="D30" s="32"/>
      <c r="E30" s="34"/>
      <c r="F30" s="34"/>
      <c r="G30" s="34"/>
      <c r="H30" s="34"/>
      <c r="I30" s="34"/>
      <c r="J30" s="34"/>
      <c r="K30" s="33"/>
      <c r="L30" s="32" t="s">
        <v>356</v>
      </c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3"/>
      <c r="AF30" s="69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x14ac:dyDescent="0.25">
      <c r="A31" s="31"/>
      <c r="B31" s="26" t="s">
        <v>332</v>
      </c>
      <c r="C31" s="27"/>
      <c r="D31" s="26" t="s">
        <v>292</v>
      </c>
      <c r="E31" s="28"/>
      <c r="F31" s="28"/>
      <c r="G31" s="28"/>
      <c r="H31" s="28"/>
      <c r="I31" s="28"/>
      <c r="J31" s="28"/>
      <c r="K31" s="27"/>
      <c r="L31" s="26" t="s">
        <v>357</v>
      </c>
      <c r="M31" s="28"/>
      <c r="N31" s="28"/>
      <c r="O31" s="28"/>
      <c r="P31" s="28"/>
      <c r="Q31" s="35" t="s">
        <v>358</v>
      </c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7"/>
      <c r="AF31" s="69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1"/>
      <c r="B32" s="29"/>
      <c r="C32" s="30"/>
      <c r="D32" s="29"/>
      <c r="E32" s="31"/>
      <c r="F32" s="31"/>
      <c r="G32" s="31"/>
      <c r="H32" s="31"/>
      <c r="I32" s="31"/>
      <c r="J32" s="31"/>
      <c r="K32" s="30"/>
      <c r="L32" s="29"/>
      <c r="M32" s="31"/>
      <c r="N32" s="31"/>
      <c r="O32" s="31"/>
      <c r="P32" s="31"/>
      <c r="Q32" s="36" t="s">
        <v>359</v>
      </c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0"/>
      <c r="AF32" s="69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9"/>
      <c r="C33" s="30"/>
      <c r="D33" s="29"/>
      <c r="E33" s="31"/>
      <c r="F33" s="31"/>
      <c r="G33" s="31"/>
      <c r="H33" s="31"/>
      <c r="I33" s="31"/>
      <c r="J33" s="31"/>
      <c r="K33" s="30"/>
      <c r="L33" s="29" t="s">
        <v>347</v>
      </c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0"/>
      <c r="AF33" s="69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1"/>
      <c r="B34" s="32"/>
      <c r="C34" s="33"/>
      <c r="D34" s="32"/>
      <c r="E34" s="34"/>
      <c r="F34" s="34"/>
      <c r="G34" s="34"/>
      <c r="H34" s="34"/>
      <c r="I34" s="34"/>
      <c r="J34" s="34"/>
      <c r="K34" s="33"/>
      <c r="L34" s="32" t="s">
        <v>348</v>
      </c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3"/>
      <c r="AF34" s="69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6" t="s">
        <v>333</v>
      </c>
      <c r="C35" s="27"/>
      <c r="D35" s="26" t="s">
        <v>293</v>
      </c>
      <c r="E35" s="28"/>
      <c r="F35" s="28"/>
      <c r="G35" s="28"/>
      <c r="H35" s="28"/>
      <c r="I35" s="28"/>
      <c r="J35" s="28"/>
      <c r="K35" s="27"/>
      <c r="L35" s="26" t="s">
        <v>360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7"/>
      <c r="AF35" s="69"/>
      <c r="AG35" s="14" t="s">
        <v>361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1"/>
      <c r="B36" s="32"/>
      <c r="C36" s="33"/>
      <c r="D36" s="32"/>
      <c r="E36" s="34"/>
      <c r="F36" s="34"/>
      <c r="G36" s="34"/>
      <c r="H36" s="34"/>
      <c r="I36" s="34"/>
      <c r="J36" s="34"/>
      <c r="K36" s="33"/>
      <c r="L36" s="32" t="s">
        <v>362</v>
      </c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3"/>
      <c r="AF36" s="69"/>
      <c r="AG36" s="14"/>
      <c r="AH36" s="14" t="s">
        <v>363</v>
      </c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6" t="s">
        <v>334</v>
      </c>
      <c r="C37" s="27"/>
      <c r="D37" s="26" t="s">
        <v>294</v>
      </c>
      <c r="E37" s="28"/>
      <c r="F37" s="28"/>
      <c r="G37" s="28"/>
      <c r="H37" s="28"/>
      <c r="I37" s="28"/>
      <c r="J37" s="28"/>
      <c r="K37" s="27"/>
      <c r="L37" s="26" t="s">
        <v>364</v>
      </c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7"/>
      <c r="AF37" s="69"/>
      <c r="AG37" s="14"/>
      <c r="AH37" s="14" t="s">
        <v>365</v>
      </c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1"/>
      <c r="B38" s="32"/>
      <c r="C38" s="33"/>
      <c r="D38" s="32"/>
      <c r="E38" s="34"/>
      <c r="F38" s="34"/>
      <c r="G38" s="34"/>
      <c r="H38" s="34"/>
      <c r="I38" s="34"/>
      <c r="J38" s="34"/>
      <c r="K38" s="33"/>
      <c r="L38" s="32" t="s">
        <v>362</v>
      </c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3"/>
      <c r="AF38" s="69"/>
      <c r="AG38" s="14"/>
      <c r="AH38" s="14" t="s">
        <v>366</v>
      </c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6" t="s">
        <v>335</v>
      </c>
      <c r="C39" s="27"/>
      <c r="D39" s="26" t="s">
        <v>295</v>
      </c>
      <c r="E39" s="28"/>
      <c r="F39" s="28"/>
      <c r="G39" s="28"/>
      <c r="H39" s="28"/>
      <c r="I39" s="28"/>
      <c r="J39" s="28"/>
      <c r="K39" s="27"/>
      <c r="L39" s="26" t="s">
        <v>367</v>
      </c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7"/>
      <c r="AF39" s="69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1"/>
      <c r="B40" s="32"/>
      <c r="C40" s="33"/>
      <c r="D40" s="32"/>
      <c r="E40" s="34"/>
      <c r="F40" s="34"/>
      <c r="G40" s="34"/>
      <c r="H40" s="34"/>
      <c r="I40" s="34"/>
      <c r="J40" s="34"/>
      <c r="K40" s="33"/>
      <c r="L40" s="32" t="s">
        <v>356</v>
      </c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3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</row>
    <row r="41" spans="1:46" x14ac:dyDescent="0.25">
      <c r="A41" s="31"/>
      <c r="B41" s="26" t="s">
        <v>336</v>
      </c>
      <c r="C41" s="27"/>
      <c r="D41" s="26" t="s">
        <v>296</v>
      </c>
      <c r="E41" s="28"/>
      <c r="F41" s="28"/>
      <c r="G41" s="28"/>
      <c r="H41" s="28"/>
      <c r="I41" s="28"/>
      <c r="J41" s="28"/>
      <c r="K41" s="27"/>
      <c r="L41" s="26" t="s">
        <v>360</v>
      </c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7"/>
      <c r="AF41" s="69"/>
      <c r="AG41" s="20" t="s">
        <v>368</v>
      </c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1"/>
      <c r="B42" s="32"/>
      <c r="C42" s="33"/>
      <c r="D42" s="32"/>
      <c r="E42" s="34"/>
      <c r="F42" s="34"/>
      <c r="G42" s="34"/>
      <c r="H42" s="34"/>
      <c r="I42" s="34"/>
      <c r="J42" s="34"/>
      <c r="K42" s="33"/>
      <c r="L42" s="32" t="s">
        <v>362</v>
      </c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3"/>
      <c r="AG42" s="14" t="s">
        <v>369</v>
      </c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x14ac:dyDescent="0.25">
      <c r="A44" s="37" t="s">
        <v>370</v>
      </c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69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x14ac:dyDescent="0.25">
      <c r="A45" s="46"/>
      <c r="B45" s="38" t="s">
        <v>342</v>
      </c>
      <c r="C45" s="39"/>
      <c r="D45" s="38" t="s">
        <v>343</v>
      </c>
      <c r="E45" s="40"/>
      <c r="F45" s="40"/>
      <c r="G45" s="40"/>
      <c r="H45" s="40"/>
      <c r="I45" s="40"/>
      <c r="J45" s="40"/>
      <c r="K45" s="39"/>
      <c r="L45" s="38" t="s">
        <v>344</v>
      </c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39"/>
      <c r="AF45" s="69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</row>
    <row r="46" spans="1:46" x14ac:dyDescent="0.25">
      <c r="A46" s="46"/>
      <c r="B46" s="41" t="s">
        <v>329</v>
      </c>
      <c r="C46" s="42"/>
      <c r="D46" s="41" t="s">
        <v>345</v>
      </c>
      <c r="E46" s="43"/>
      <c r="F46" s="43"/>
      <c r="G46" s="43"/>
      <c r="H46" s="43"/>
      <c r="I46" s="43"/>
      <c r="J46" s="43"/>
      <c r="K46" s="42"/>
      <c r="L46" s="43" t="s">
        <v>346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2"/>
      <c r="AF46" s="69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</row>
    <row r="47" spans="1:46" x14ac:dyDescent="0.25">
      <c r="A47" s="46"/>
      <c r="B47" s="44"/>
      <c r="C47" s="45"/>
      <c r="D47" s="44"/>
      <c r="E47" s="46"/>
      <c r="F47" s="46"/>
      <c r="G47" s="46"/>
      <c r="H47" s="46"/>
      <c r="I47" s="46"/>
      <c r="J47" s="46"/>
      <c r="K47" s="45"/>
      <c r="L47" s="46" t="s">
        <v>347</v>
      </c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5"/>
      <c r="AF47" s="69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</row>
    <row r="48" spans="1:46" x14ac:dyDescent="0.25">
      <c r="A48" s="46"/>
      <c r="B48" s="47"/>
      <c r="C48" s="48"/>
      <c r="D48" s="44"/>
      <c r="E48" s="46"/>
      <c r="F48" s="46"/>
      <c r="G48" s="46"/>
      <c r="H48" s="46"/>
      <c r="I48" s="46"/>
      <c r="J48" s="46"/>
      <c r="K48" s="45"/>
      <c r="L48" s="49" t="s">
        <v>348</v>
      </c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8"/>
      <c r="AF48" s="69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</row>
    <row r="49" spans="1:46" x14ac:dyDescent="0.25">
      <c r="A49" s="46"/>
      <c r="B49" s="41" t="s">
        <v>330</v>
      </c>
      <c r="C49" s="43"/>
      <c r="D49" s="152" t="s">
        <v>349</v>
      </c>
      <c r="E49" s="153"/>
      <c r="F49" s="153"/>
      <c r="G49" s="153"/>
      <c r="H49" s="153"/>
      <c r="I49" s="153"/>
      <c r="J49" s="153"/>
      <c r="K49" s="154"/>
      <c r="L49" s="99" t="s">
        <v>350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2"/>
      <c r="AF49" s="69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</row>
    <row r="50" spans="1:46" x14ac:dyDescent="0.25">
      <c r="A50" s="46"/>
      <c r="B50" s="44"/>
      <c r="C50" s="46"/>
      <c r="D50" s="155"/>
      <c r="E50" s="46"/>
      <c r="F50" s="46"/>
      <c r="G50" s="46"/>
      <c r="H50" s="46"/>
      <c r="I50" s="46"/>
      <c r="J50" s="46"/>
      <c r="K50" s="156"/>
      <c r="L50" s="100" t="s">
        <v>351</v>
      </c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5"/>
      <c r="AF50" s="69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</row>
    <row r="51" spans="1:46" x14ac:dyDescent="0.25">
      <c r="A51" s="46"/>
      <c r="B51" s="44"/>
      <c r="C51" s="46"/>
      <c r="D51" s="155"/>
      <c r="E51" s="46"/>
      <c r="F51" s="46"/>
      <c r="G51" s="46"/>
      <c r="H51" s="46"/>
      <c r="I51" s="46"/>
      <c r="J51" s="46"/>
      <c r="K51" s="156"/>
      <c r="L51" s="100" t="s">
        <v>371</v>
      </c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5"/>
      <c r="AF51" s="69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</row>
    <row r="52" spans="1:46" x14ac:dyDescent="0.25">
      <c r="A52" s="46"/>
      <c r="B52" s="44"/>
      <c r="C52" s="46"/>
      <c r="D52" s="157"/>
      <c r="E52" s="158"/>
      <c r="F52" s="158"/>
      <c r="G52" s="158"/>
      <c r="H52" s="158"/>
      <c r="I52" s="158"/>
      <c r="J52" s="158"/>
      <c r="K52" s="159"/>
      <c r="L52" s="100" t="s">
        <v>353</v>
      </c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5"/>
      <c r="AF52" s="69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</row>
    <row r="53" spans="1:46" x14ac:dyDescent="0.25">
      <c r="A53" s="46"/>
      <c r="B53" s="41" t="s">
        <v>331</v>
      </c>
      <c r="C53" s="42"/>
      <c r="D53" s="44" t="s">
        <v>372</v>
      </c>
      <c r="E53" s="46"/>
      <c r="F53" s="46"/>
      <c r="G53" s="46"/>
      <c r="H53" s="46"/>
      <c r="I53" s="46"/>
      <c r="J53" s="46"/>
      <c r="K53" s="45"/>
      <c r="L53" s="41" t="s">
        <v>355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2"/>
      <c r="AF53" s="69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</row>
    <row r="54" spans="1:46" x14ac:dyDescent="0.25">
      <c r="A54" s="46"/>
      <c r="B54" s="44"/>
      <c r="C54" s="45"/>
      <c r="D54" s="50" t="s">
        <v>373</v>
      </c>
      <c r="E54" s="46"/>
      <c r="F54" s="46"/>
      <c r="G54" s="46"/>
      <c r="H54" s="46"/>
      <c r="I54" s="46"/>
      <c r="J54" s="46"/>
      <c r="K54" s="45"/>
      <c r="L54" s="44" t="s">
        <v>374</v>
      </c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5"/>
      <c r="AF54" s="69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</row>
    <row r="55" spans="1:46" x14ac:dyDescent="0.25">
      <c r="A55" s="46"/>
      <c r="B55" s="44"/>
      <c r="C55" s="45"/>
      <c r="D55" s="44" t="s">
        <v>375</v>
      </c>
      <c r="E55" s="46"/>
      <c r="F55" s="46"/>
      <c r="G55" s="46"/>
      <c r="H55" s="46"/>
      <c r="I55" s="46"/>
      <c r="J55" s="46"/>
      <c r="K55" s="45"/>
      <c r="L55" s="44" t="s">
        <v>376</v>
      </c>
      <c r="M55" s="46"/>
      <c r="N55" s="46"/>
      <c r="O55" s="46"/>
      <c r="P55" s="46"/>
      <c r="Q55" s="51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5"/>
      <c r="AF55" s="69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</row>
    <row r="56" spans="1:46" x14ac:dyDescent="0.25">
      <c r="A56" s="46"/>
      <c r="B56" s="47"/>
      <c r="C56" s="48"/>
      <c r="D56" s="47"/>
      <c r="E56" s="49"/>
      <c r="F56" s="49"/>
      <c r="G56" s="49"/>
      <c r="H56" s="49"/>
      <c r="I56" s="49"/>
      <c r="J56" s="49"/>
      <c r="K56" s="48"/>
      <c r="L56" s="47" t="s">
        <v>377</v>
      </c>
      <c r="M56" s="49"/>
      <c r="N56" s="49"/>
      <c r="O56" s="49"/>
      <c r="P56" s="49"/>
      <c r="Q56" s="52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8"/>
      <c r="AF56" s="69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</row>
    <row r="57" spans="1:46" x14ac:dyDescent="0.25">
      <c r="A57" s="46"/>
      <c r="B57" s="44" t="s">
        <v>332</v>
      </c>
      <c r="C57" s="45"/>
      <c r="D57" s="44" t="s">
        <v>292</v>
      </c>
      <c r="E57" s="46"/>
      <c r="F57" s="46"/>
      <c r="G57" s="46"/>
      <c r="H57" s="46"/>
      <c r="I57" s="46"/>
      <c r="J57" s="46"/>
      <c r="K57" s="45"/>
      <c r="L57" s="44" t="s">
        <v>357</v>
      </c>
      <c r="M57" s="46"/>
      <c r="N57" s="46"/>
      <c r="O57" s="46"/>
      <c r="P57" s="46"/>
      <c r="Q57" s="51" t="s">
        <v>358</v>
      </c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5"/>
      <c r="AF57" s="69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</row>
    <row r="58" spans="1:46" x14ac:dyDescent="0.25">
      <c r="A58" s="46"/>
      <c r="B58" s="44"/>
      <c r="C58" s="45"/>
      <c r="D58" s="44"/>
      <c r="E58" s="46"/>
      <c r="F58" s="46"/>
      <c r="G58" s="46"/>
      <c r="H58" s="46"/>
      <c r="I58" s="46"/>
      <c r="J58" s="46"/>
      <c r="K58" s="45"/>
      <c r="L58" s="44"/>
      <c r="M58" s="46"/>
      <c r="N58" s="46"/>
      <c r="O58" s="46"/>
      <c r="P58" s="46"/>
      <c r="Q58" s="51" t="s">
        <v>359</v>
      </c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5"/>
      <c r="AF58" s="69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</row>
    <row r="59" spans="1:46" x14ac:dyDescent="0.25">
      <c r="A59" s="46"/>
      <c r="B59" s="44"/>
      <c r="C59" s="45"/>
      <c r="D59" s="44"/>
      <c r="E59" s="46"/>
      <c r="F59" s="46"/>
      <c r="G59" s="46"/>
      <c r="H59" s="46"/>
      <c r="I59" s="46"/>
      <c r="J59" s="46"/>
      <c r="K59" s="45"/>
      <c r="L59" s="44" t="s">
        <v>347</v>
      </c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5"/>
      <c r="AF59" s="69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</row>
    <row r="60" spans="1:46" x14ac:dyDescent="0.25">
      <c r="A60" s="46"/>
      <c r="B60" s="47"/>
      <c r="C60" s="48"/>
      <c r="D60" s="47"/>
      <c r="E60" s="49"/>
      <c r="F60" s="49"/>
      <c r="G60" s="49"/>
      <c r="H60" s="49"/>
      <c r="I60" s="49"/>
      <c r="J60" s="49"/>
      <c r="K60" s="48"/>
      <c r="L60" s="47" t="s">
        <v>348</v>
      </c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8"/>
      <c r="AF60" s="69"/>
      <c r="AG60" s="14" t="s">
        <v>361</v>
      </c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</row>
    <row r="61" spans="1:46" x14ac:dyDescent="0.25">
      <c r="A61" s="46"/>
      <c r="B61" s="41" t="s">
        <v>333</v>
      </c>
      <c r="C61" s="42"/>
      <c r="D61" s="41" t="s">
        <v>293</v>
      </c>
      <c r="E61" s="43"/>
      <c r="F61" s="43"/>
      <c r="G61" s="43"/>
      <c r="H61" s="43"/>
      <c r="I61" s="43"/>
      <c r="J61" s="43"/>
      <c r="K61" s="42"/>
      <c r="L61" s="41" t="s">
        <v>360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2"/>
      <c r="AF61" s="69"/>
      <c r="AG61" s="14"/>
      <c r="AH61" s="14" t="s">
        <v>378</v>
      </c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</row>
    <row r="62" spans="1:46" x14ac:dyDescent="0.25">
      <c r="A62" s="46"/>
      <c r="B62" s="44"/>
      <c r="C62" s="45"/>
      <c r="D62" s="44"/>
      <c r="E62" s="46"/>
      <c r="F62" s="46"/>
      <c r="G62" s="46"/>
      <c r="H62" s="46"/>
      <c r="I62" s="46"/>
      <c r="J62" s="46"/>
      <c r="K62" s="45"/>
      <c r="L62" s="44" t="s">
        <v>362</v>
      </c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5"/>
      <c r="AF62" s="69"/>
      <c r="AG62" s="14"/>
      <c r="AH62" s="14" t="s">
        <v>379</v>
      </c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</row>
    <row r="63" spans="1:46" x14ac:dyDescent="0.25">
      <c r="A63" s="46"/>
      <c r="B63" s="41" t="s">
        <v>334</v>
      </c>
      <c r="C63" s="42"/>
      <c r="D63" s="41" t="s">
        <v>302</v>
      </c>
      <c r="E63" s="43"/>
      <c r="F63" s="43"/>
      <c r="G63" s="43"/>
      <c r="H63" s="43"/>
      <c r="I63" s="43"/>
      <c r="J63" s="43"/>
      <c r="K63" s="42"/>
      <c r="L63" s="41" t="s">
        <v>380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2"/>
      <c r="AF63" s="69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</row>
    <row r="64" spans="1:46" x14ac:dyDescent="0.25">
      <c r="A64" s="46"/>
      <c r="B64" s="44"/>
      <c r="C64" s="45"/>
      <c r="D64" s="44"/>
      <c r="E64" s="46"/>
      <c r="F64" s="46"/>
      <c r="G64" s="46"/>
      <c r="H64" s="46"/>
      <c r="I64" s="46"/>
      <c r="J64" s="46"/>
      <c r="K64" s="45"/>
      <c r="L64" s="44" t="s">
        <v>381</v>
      </c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5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</row>
    <row r="65" spans="1:46" x14ac:dyDescent="0.25">
      <c r="A65" s="46"/>
      <c r="B65" s="44"/>
      <c r="C65" s="45"/>
      <c r="D65" s="44"/>
      <c r="E65" s="46"/>
      <c r="F65" s="46"/>
      <c r="G65" s="46"/>
      <c r="H65" s="46"/>
      <c r="I65" s="46"/>
      <c r="J65" s="46"/>
      <c r="K65" s="45"/>
      <c r="L65" s="44" t="s">
        <v>348</v>
      </c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5"/>
      <c r="AF65" s="69"/>
      <c r="AG65" s="301" t="s">
        <v>382</v>
      </c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</row>
    <row r="66" spans="1:46" x14ac:dyDescent="0.25">
      <c r="A66" s="46"/>
      <c r="B66" s="41" t="s">
        <v>335</v>
      </c>
      <c r="C66" s="42"/>
      <c r="D66" s="41" t="s">
        <v>295</v>
      </c>
      <c r="E66" s="43"/>
      <c r="F66" s="43"/>
      <c r="G66" s="43"/>
      <c r="H66" s="43"/>
      <c r="I66" s="43"/>
      <c r="J66" s="43"/>
      <c r="K66" s="42"/>
      <c r="L66" s="41" t="s">
        <v>383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2"/>
      <c r="AF66" s="69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</row>
    <row r="67" spans="1:46" x14ac:dyDescent="0.25">
      <c r="A67" s="46"/>
      <c r="B67" s="44"/>
      <c r="C67" s="45"/>
      <c r="D67" s="50" t="s">
        <v>373</v>
      </c>
      <c r="E67" s="46"/>
      <c r="F67" s="46"/>
      <c r="G67" s="46"/>
      <c r="H67" s="46"/>
      <c r="I67" s="46"/>
      <c r="J67" s="46"/>
      <c r="K67" s="45"/>
      <c r="L67" s="44" t="s">
        <v>374</v>
      </c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5"/>
      <c r="AF67" s="69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</row>
    <row r="68" spans="1:46" x14ac:dyDescent="0.25">
      <c r="A68" s="46"/>
      <c r="B68" s="44"/>
      <c r="C68" s="45"/>
      <c r="D68" s="44" t="s">
        <v>384</v>
      </c>
      <c r="E68" s="46"/>
      <c r="F68" s="46"/>
      <c r="G68" s="46"/>
      <c r="H68" s="46"/>
      <c r="I68" s="46"/>
      <c r="J68" s="46"/>
      <c r="K68" s="45"/>
      <c r="L68" s="44" t="s">
        <v>385</v>
      </c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5"/>
      <c r="AF68" s="69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</row>
    <row r="69" spans="1:46" x14ac:dyDescent="0.25">
      <c r="A69" s="46"/>
      <c r="B69" s="47"/>
      <c r="C69" s="48"/>
      <c r="D69" s="47"/>
      <c r="E69" s="49"/>
      <c r="F69" s="49"/>
      <c r="G69" s="49"/>
      <c r="H69" s="49"/>
      <c r="I69" s="49"/>
      <c r="J69" s="49"/>
      <c r="K69" s="48"/>
      <c r="L69" s="47" t="s">
        <v>377</v>
      </c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8"/>
      <c r="AF69" s="69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</row>
    <row r="70" spans="1:46" x14ac:dyDescent="0.25">
      <c r="A70" s="46"/>
      <c r="B70" s="44" t="s">
        <v>336</v>
      </c>
      <c r="C70" s="45"/>
      <c r="D70" s="44" t="s">
        <v>296</v>
      </c>
      <c r="E70" s="46"/>
      <c r="F70" s="46"/>
      <c r="G70" s="46"/>
      <c r="H70" s="46"/>
      <c r="I70" s="46"/>
      <c r="J70" s="46"/>
      <c r="K70" s="45"/>
      <c r="L70" s="44" t="s">
        <v>360</v>
      </c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5"/>
      <c r="AF70" s="69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</row>
    <row r="71" spans="1:46" x14ac:dyDescent="0.25">
      <c r="A71" s="46"/>
      <c r="B71" s="47"/>
      <c r="C71" s="48"/>
      <c r="D71" s="47"/>
      <c r="E71" s="49"/>
      <c r="F71" s="49"/>
      <c r="G71" s="49"/>
      <c r="H71" s="49"/>
      <c r="I71" s="49"/>
      <c r="J71" s="49"/>
      <c r="K71" s="48"/>
      <c r="L71" s="47" t="s">
        <v>362</v>
      </c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8"/>
      <c r="AF71" s="69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</row>
    <row r="72" spans="1:46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</row>
    <row r="73" spans="1:46" x14ac:dyDescent="0.25">
      <c r="A73" s="53" t="s">
        <v>386</v>
      </c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9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</row>
    <row r="74" spans="1:46" x14ac:dyDescent="0.25">
      <c r="A74" s="62"/>
      <c r="B74" s="54" t="s">
        <v>342</v>
      </c>
      <c r="C74" s="55"/>
      <c r="D74" s="54" t="s">
        <v>343</v>
      </c>
      <c r="E74" s="56"/>
      <c r="F74" s="56"/>
      <c r="G74" s="56"/>
      <c r="H74" s="56"/>
      <c r="I74" s="56"/>
      <c r="J74" s="56"/>
      <c r="K74" s="55"/>
      <c r="L74" s="54" t="s">
        <v>344</v>
      </c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5"/>
      <c r="AF74" s="69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</row>
    <row r="75" spans="1:46" x14ac:dyDescent="0.25">
      <c r="A75" s="62"/>
      <c r="B75" s="57" t="s">
        <v>329</v>
      </c>
      <c r="C75" s="58"/>
      <c r="D75" s="57" t="s">
        <v>345</v>
      </c>
      <c r="E75" s="59"/>
      <c r="F75" s="59"/>
      <c r="G75" s="59"/>
      <c r="H75" s="59"/>
      <c r="I75" s="59"/>
      <c r="J75" s="59"/>
      <c r="K75" s="58"/>
      <c r="L75" s="59" t="s">
        <v>346</v>
      </c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8"/>
      <c r="AF75" s="69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</row>
    <row r="76" spans="1:46" x14ac:dyDescent="0.25">
      <c r="A76" s="62"/>
      <c r="B76" s="60"/>
      <c r="C76" s="61"/>
      <c r="D76" s="60"/>
      <c r="E76" s="62"/>
      <c r="F76" s="62"/>
      <c r="G76" s="62"/>
      <c r="H76" s="62"/>
      <c r="I76" s="62"/>
      <c r="J76" s="62"/>
      <c r="K76" s="61"/>
      <c r="L76" s="62" t="s">
        <v>347</v>
      </c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1"/>
      <c r="AF76" s="69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</row>
    <row r="77" spans="1:46" x14ac:dyDescent="0.25">
      <c r="A77" s="62"/>
      <c r="B77" s="63"/>
      <c r="C77" s="64"/>
      <c r="D77" s="63"/>
      <c r="E77" s="65"/>
      <c r="F77" s="65"/>
      <c r="G77" s="65"/>
      <c r="H77" s="65"/>
      <c r="I77" s="65"/>
      <c r="J77" s="65"/>
      <c r="K77" s="64"/>
      <c r="L77" s="65" t="s">
        <v>348</v>
      </c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4"/>
      <c r="AF77" s="69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</row>
    <row r="78" spans="1:46" x14ac:dyDescent="0.25">
      <c r="A78" s="62"/>
      <c r="B78" s="57" t="s">
        <v>330</v>
      </c>
      <c r="C78" s="58"/>
      <c r="D78" s="57" t="s">
        <v>297</v>
      </c>
      <c r="E78" s="59"/>
      <c r="F78" s="59"/>
      <c r="G78" s="59"/>
      <c r="H78" s="59"/>
      <c r="I78" s="59"/>
      <c r="J78" s="59"/>
      <c r="K78" s="58"/>
      <c r="L78" s="62" t="s">
        <v>387</v>
      </c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8"/>
      <c r="AF78" s="69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</row>
    <row r="79" spans="1:46" x14ac:dyDescent="0.25">
      <c r="A79" s="62"/>
      <c r="B79" s="60"/>
      <c r="C79" s="61"/>
      <c r="D79" s="60"/>
      <c r="E79" s="62"/>
      <c r="F79" s="62"/>
      <c r="G79" s="62"/>
      <c r="H79" s="62"/>
      <c r="I79" s="62"/>
      <c r="J79" s="62"/>
      <c r="K79" s="61"/>
      <c r="L79" s="62" t="s">
        <v>388</v>
      </c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1"/>
      <c r="AF79" s="69"/>
      <c r="AG79" s="14" t="s">
        <v>389</v>
      </c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</row>
    <row r="80" spans="1:46" x14ac:dyDescent="0.25">
      <c r="A80" s="62"/>
      <c r="B80" s="60"/>
      <c r="C80" s="61"/>
      <c r="D80" s="60"/>
      <c r="E80" s="62"/>
      <c r="F80" s="62"/>
      <c r="G80" s="62"/>
      <c r="H80" s="62"/>
      <c r="I80" s="62"/>
      <c r="J80" s="62"/>
      <c r="K80" s="61"/>
      <c r="L80" s="62" t="s">
        <v>390</v>
      </c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1"/>
      <c r="AF80" s="69"/>
      <c r="AG80" s="14"/>
      <c r="AH80" s="14" t="s">
        <v>391</v>
      </c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</row>
    <row r="81" spans="1:46" x14ac:dyDescent="0.25">
      <c r="A81" s="62"/>
      <c r="B81" s="66" t="s">
        <v>331</v>
      </c>
      <c r="C81" s="55"/>
      <c r="D81" s="66" t="s">
        <v>392</v>
      </c>
      <c r="E81" s="56"/>
      <c r="F81" s="56"/>
      <c r="G81" s="56"/>
      <c r="H81" s="56"/>
      <c r="I81" s="56"/>
      <c r="J81" s="56"/>
      <c r="K81" s="55"/>
      <c r="L81" s="66" t="s">
        <v>393</v>
      </c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5"/>
      <c r="AF81" s="69"/>
      <c r="AG81" s="14"/>
      <c r="AH81" s="14" t="s">
        <v>394</v>
      </c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</row>
    <row r="82" spans="1:46" x14ac:dyDescent="0.25">
      <c r="A82" s="62"/>
      <c r="B82" s="57" t="s">
        <v>335</v>
      </c>
      <c r="C82" s="58"/>
      <c r="D82" s="57" t="s">
        <v>299</v>
      </c>
      <c r="E82" s="59"/>
      <c r="F82" s="59"/>
      <c r="G82" s="59"/>
      <c r="H82" s="59"/>
      <c r="I82" s="59"/>
      <c r="J82" s="59"/>
      <c r="K82" s="58"/>
      <c r="L82" s="57" t="s">
        <v>395</v>
      </c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8"/>
      <c r="AF82" s="69"/>
      <c r="AG82" s="14"/>
      <c r="AH82" s="14" t="s">
        <v>396</v>
      </c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</row>
    <row r="83" spans="1:46" x14ac:dyDescent="0.25">
      <c r="A83" s="62"/>
      <c r="B83" s="63"/>
      <c r="C83" s="64"/>
      <c r="D83" s="63"/>
      <c r="E83" s="65"/>
      <c r="F83" s="65"/>
      <c r="G83" s="65"/>
      <c r="H83" s="65"/>
      <c r="I83" s="65"/>
      <c r="J83" s="65"/>
      <c r="K83" s="64"/>
      <c r="L83" s="63" t="s">
        <v>397</v>
      </c>
      <c r="M83" s="65"/>
      <c r="N83" s="65"/>
      <c r="O83" s="65"/>
      <c r="P83" s="65"/>
      <c r="Q83" s="67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4"/>
      <c r="AF83" s="69"/>
      <c r="AG83" s="14"/>
      <c r="AH83" s="14" t="s">
        <v>398</v>
      </c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</row>
    <row r="84" spans="1:46" x14ac:dyDescent="0.25">
      <c r="A84" s="62"/>
      <c r="B84" s="57" t="s">
        <v>336</v>
      </c>
      <c r="C84" s="58"/>
      <c r="D84" s="57" t="s">
        <v>300</v>
      </c>
      <c r="E84" s="59"/>
      <c r="F84" s="59"/>
      <c r="G84" s="59"/>
      <c r="H84" s="59"/>
      <c r="I84" s="59"/>
      <c r="J84" s="59"/>
      <c r="K84" s="58"/>
      <c r="L84" s="57" t="s">
        <v>399</v>
      </c>
      <c r="M84" s="59"/>
      <c r="N84" s="59"/>
      <c r="O84" s="59"/>
      <c r="P84" s="59"/>
      <c r="Q84" s="68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8"/>
      <c r="AF84" s="69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</row>
    <row r="85" spans="1:46" x14ac:dyDescent="0.25">
      <c r="A85" s="62"/>
      <c r="B85" s="63"/>
      <c r="C85" s="64"/>
      <c r="D85" s="63"/>
      <c r="E85" s="65"/>
      <c r="F85" s="65"/>
      <c r="G85" s="65"/>
      <c r="H85" s="65"/>
      <c r="I85" s="65"/>
      <c r="J85" s="65"/>
      <c r="K85" s="64"/>
      <c r="L85" s="63" t="s">
        <v>397</v>
      </c>
      <c r="M85" s="65"/>
      <c r="N85" s="65"/>
      <c r="O85" s="65"/>
      <c r="P85" s="65"/>
      <c r="Q85" s="67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4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</row>
    <row r="86" spans="1:46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70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</row>
    <row r="87" spans="1:46" x14ac:dyDescent="0.25">
      <c r="A87" s="71" t="s">
        <v>400</v>
      </c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</row>
    <row r="88" spans="1:46" x14ac:dyDescent="0.25">
      <c r="A88" s="72"/>
      <c r="B88" s="73" t="s">
        <v>342</v>
      </c>
      <c r="C88" s="74"/>
      <c r="D88" s="73" t="s">
        <v>343</v>
      </c>
      <c r="E88" s="75"/>
      <c r="F88" s="75"/>
      <c r="G88" s="75"/>
      <c r="H88" s="75"/>
      <c r="I88" s="75"/>
      <c r="J88" s="75"/>
      <c r="K88" s="74"/>
      <c r="L88" s="73" t="s">
        <v>344</v>
      </c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4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</row>
    <row r="89" spans="1:46" x14ac:dyDescent="0.25">
      <c r="A89" s="72"/>
      <c r="B89" s="76" t="s">
        <v>329</v>
      </c>
      <c r="C89" s="74"/>
      <c r="D89" s="76" t="s">
        <v>316</v>
      </c>
      <c r="E89" s="75"/>
      <c r="F89" s="75"/>
      <c r="G89" s="75"/>
      <c r="H89" s="75"/>
      <c r="I89" s="75"/>
      <c r="J89" s="75"/>
      <c r="K89" s="74"/>
      <c r="L89" s="76" t="s">
        <v>401</v>
      </c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4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</row>
    <row r="90" spans="1:46" x14ac:dyDescent="0.25">
      <c r="A90" s="72"/>
      <c r="B90" s="76" t="s">
        <v>330</v>
      </c>
      <c r="C90" s="74"/>
      <c r="D90" s="76" t="s">
        <v>317</v>
      </c>
      <c r="E90" s="75"/>
      <c r="F90" s="75"/>
      <c r="G90" s="75"/>
      <c r="H90" s="75"/>
      <c r="I90" s="75"/>
      <c r="J90" s="75"/>
      <c r="K90" s="74"/>
      <c r="L90" s="76" t="s">
        <v>402</v>
      </c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4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</row>
    <row r="91" spans="1:46" x14ac:dyDescent="0.25">
      <c r="A91" s="72"/>
      <c r="B91" s="76" t="s">
        <v>335</v>
      </c>
      <c r="C91" s="74"/>
      <c r="D91" s="76" t="s">
        <v>318</v>
      </c>
      <c r="E91" s="75"/>
      <c r="F91" s="75"/>
      <c r="G91" s="75"/>
      <c r="H91" s="75"/>
      <c r="I91" s="75"/>
      <c r="J91" s="75"/>
      <c r="K91" s="74"/>
      <c r="L91" s="76" t="s">
        <v>403</v>
      </c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4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</row>
    <row r="92" spans="1:46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</row>
    <row r="93" spans="1:46" x14ac:dyDescent="0.25">
      <c r="A93" s="84" t="s">
        <v>120</v>
      </c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</row>
    <row r="94" spans="1:46" x14ac:dyDescent="0.25">
      <c r="A94" s="85"/>
      <c r="B94" s="86" t="s">
        <v>342</v>
      </c>
      <c r="C94" s="87"/>
      <c r="D94" s="86" t="s">
        <v>343</v>
      </c>
      <c r="E94" s="88"/>
      <c r="F94" s="88"/>
      <c r="G94" s="88"/>
      <c r="H94" s="88"/>
      <c r="I94" s="88"/>
      <c r="J94" s="88"/>
      <c r="K94" s="87"/>
      <c r="L94" s="86" t="s">
        <v>344</v>
      </c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7"/>
      <c r="AF94" s="69"/>
    </row>
    <row r="95" spans="1:46" x14ac:dyDescent="0.25">
      <c r="A95" s="85"/>
      <c r="B95" s="89" t="s">
        <v>329</v>
      </c>
      <c r="C95" s="87"/>
      <c r="D95" s="90" t="s">
        <v>320</v>
      </c>
      <c r="E95" s="88"/>
      <c r="F95" s="88"/>
      <c r="G95" s="88"/>
      <c r="H95" s="88"/>
      <c r="I95" s="88"/>
      <c r="J95" s="88"/>
      <c r="K95" s="87"/>
      <c r="L95" s="91" t="s">
        <v>404</v>
      </c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7"/>
      <c r="AF95" s="69"/>
    </row>
    <row r="96" spans="1:46" x14ac:dyDescent="0.25">
      <c r="A96" s="85"/>
      <c r="B96" s="91" t="s">
        <v>330</v>
      </c>
      <c r="C96" s="87"/>
      <c r="D96" s="90" t="s">
        <v>321</v>
      </c>
      <c r="E96" s="88"/>
      <c r="F96" s="88"/>
      <c r="G96" s="88"/>
      <c r="H96" s="88"/>
      <c r="I96" s="88"/>
      <c r="J96" s="88"/>
      <c r="K96" s="87"/>
      <c r="L96" s="91" t="s">
        <v>405</v>
      </c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7"/>
      <c r="AF96" s="69"/>
    </row>
    <row r="97" spans="1:32" x14ac:dyDescent="0.25">
      <c r="A97" s="85"/>
      <c r="B97" s="91" t="s">
        <v>331</v>
      </c>
      <c r="C97" s="87"/>
      <c r="D97" s="90" t="s">
        <v>322</v>
      </c>
      <c r="E97" s="88"/>
      <c r="F97" s="88"/>
      <c r="G97" s="88"/>
      <c r="H97" s="88"/>
      <c r="I97" s="88"/>
      <c r="J97" s="88"/>
      <c r="K97" s="87"/>
      <c r="L97" s="91" t="s">
        <v>406</v>
      </c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7"/>
      <c r="AF97" s="69"/>
    </row>
    <row r="98" spans="1:32" x14ac:dyDescent="0.25">
      <c r="A98" s="85"/>
      <c r="B98" s="91" t="s">
        <v>332</v>
      </c>
      <c r="C98" s="87"/>
      <c r="D98" s="90" t="s">
        <v>323</v>
      </c>
      <c r="E98" s="88"/>
      <c r="F98" s="88"/>
      <c r="G98" s="88"/>
      <c r="H98" s="88"/>
      <c r="I98" s="88"/>
      <c r="J98" s="88"/>
      <c r="K98" s="87"/>
      <c r="L98" s="91" t="s">
        <v>407</v>
      </c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7"/>
      <c r="AF98" s="69"/>
    </row>
    <row r="99" spans="1:32" x14ac:dyDescent="0.25">
      <c r="A99" s="85"/>
      <c r="B99" s="91" t="s">
        <v>333</v>
      </c>
      <c r="C99" s="87"/>
      <c r="D99" s="90" t="s">
        <v>324</v>
      </c>
      <c r="E99" s="88"/>
      <c r="F99" s="88"/>
      <c r="G99" s="88"/>
      <c r="H99" s="88"/>
      <c r="I99" s="88"/>
      <c r="J99" s="88"/>
      <c r="K99" s="87"/>
      <c r="L99" s="91" t="s">
        <v>408</v>
      </c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7"/>
      <c r="AF99" s="69"/>
    </row>
    <row r="100" spans="1:32" x14ac:dyDescent="0.25">
      <c r="A100" s="85"/>
      <c r="B100" s="92" t="s">
        <v>335</v>
      </c>
      <c r="C100" s="92"/>
      <c r="D100" s="88" t="s">
        <v>299</v>
      </c>
      <c r="E100" s="88"/>
      <c r="F100" s="88"/>
      <c r="G100" s="88"/>
      <c r="H100" s="88"/>
      <c r="I100" s="88"/>
      <c r="J100" s="88"/>
      <c r="K100" s="87"/>
      <c r="L100" s="88" t="s">
        <v>395</v>
      </c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8"/>
      <c r="AE100" s="87"/>
      <c r="AF100" s="69"/>
    </row>
    <row r="101" spans="1:32" x14ac:dyDescent="0.25">
      <c r="A101" s="85"/>
      <c r="B101" s="92" t="s">
        <v>336</v>
      </c>
      <c r="C101" s="92"/>
      <c r="D101" s="88" t="s">
        <v>300</v>
      </c>
      <c r="E101" s="88"/>
      <c r="F101" s="88"/>
      <c r="G101" s="88"/>
      <c r="H101" s="88"/>
      <c r="I101" s="88"/>
      <c r="J101" s="88"/>
      <c r="K101" s="87"/>
      <c r="L101" s="88" t="s">
        <v>399</v>
      </c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7"/>
      <c r="AF101" s="69"/>
    </row>
    <row r="102" spans="1:32" x14ac:dyDescent="0.25">
      <c r="A102" s="85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69"/>
    </row>
    <row r="103" spans="1:32" x14ac:dyDescent="0.25">
      <c r="A103" s="84" t="s">
        <v>122</v>
      </c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69"/>
    </row>
    <row r="104" spans="1:32" x14ac:dyDescent="0.25">
      <c r="A104" s="85"/>
      <c r="B104" s="86" t="s">
        <v>342</v>
      </c>
      <c r="C104" s="87"/>
      <c r="D104" s="86" t="s">
        <v>343</v>
      </c>
      <c r="E104" s="88"/>
      <c r="F104" s="88"/>
      <c r="G104" s="88"/>
      <c r="H104" s="88"/>
      <c r="I104" s="88"/>
      <c r="J104" s="88"/>
      <c r="K104" s="87"/>
      <c r="L104" s="86" t="s">
        <v>344</v>
      </c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7"/>
      <c r="AF104" s="69"/>
    </row>
    <row r="105" spans="1:32" x14ac:dyDescent="0.25">
      <c r="A105" s="85"/>
      <c r="B105" s="89" t="s">
        <v>329</v>
      </c>
      <c r="C105" s="87"/>
      <c r="D105" s="93" t="s">
        <v>325</v>
      </c>
      <c r="E105" s="88"/>
      <c r="F105" s="88"/>
      <c r="G105" s="88"/>
      <c r="H105" s="88"/>
      <c r="I105" s="88"/>
      <c r="J105" s="88"/>
      <c r="K105" s="87"/>
      <c r="L105" s="91" t="s">
        <v>409</v>
      </c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7"/>
      <c r="AF105" s="69"/>
    </row>
    <row r="106" spans="1:32" x14ac:dyDescent="0.25">
      <c r="A106" s="85"/>
      <c r="B106" s="91" t="s">
        <v>330</v>
      </c>
      <c r="C106" s="87"/>
      <c r="D106" s="90" t="s">
        <v>326</v>
      </c>
      <c r="E106" s="88"/>
      <c r="F106" s="88"/>
      <c r="G106" s="88"/>
      <c r="H106" s="88"/>
      <c r="I106" s="88"/>
      <c r="J106" s="88"/>
      <c r="K106" s="87"/>
      <c r="L106" s="91" t="s">
        <v>410</v>
      </c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7"/>
      <c r="AF106" s="69"/>
    </row>
    <row r="107" spans="1:32" x14ac:dyDescent="0.25">
      <c r="A107" s="85"/>
      <c r="B107" s="91" t="s">
        <v>331</v>
      </c>
      <c r="C107" s="87"/>
      <c r="D107" s="90" t="s">
        <v>326</v>
      </c>
      <c r="E107" s="88"/>
      <c r="F107" s="88"/>
      <c r="G107" s="88"/>
      <c r="H107" s="88"/>
      <c r="I107" s="88"/>
      <c r="J107" s="88"/>
      <c r="K107" s="87"/>
      <c r="L107" s="91" t="s">
        <v>410</v>
      </c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7"/>
      <c r="AF107" s="69"/>
    </row>
    <row r="108" spans="1:32" x14ac:dyDescent="0.25">
      <c r="A108" s="85"/>
      <c r="B108" s="92" t="s">
        <v>335</v>
      </c>
      <c r="C108" s="92"/>
      <c r="D108" s="88" t="s">
        <v>299</v>
      </c>
      <c r="E108" s="88"/>
      <c r="F108" s="88"/>
      <c r="G108" s="88"/>
      <c r="H108" s="88"/>
      <c r="I108" s="88"/>
      <c r="J108" s="88"/>
      <c r="K108" s="87"/>
      <c r="L108" s="88" t="s">
        <v>395</v>
      </c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7"/>
      <c r="AF108" s="69"/>
    </row>
    <row r="109" spans="1:32" s="94" customFormat="1" x14ac:dyDescent="0.25">
      <c r="A109" s="85"/>
      <c r="B109" s="92" t="s">
        <v>336</v>
      </c>
      <c r="C109" s="92"/>
      <c r="D109" s="88" t="s">
        <v>300</v>
      </c>
      <c r="E109" s="88"/>
      <c r="F109" s="88"/>
      <c r="G109" s="88"/>
      <c r="H109" s="88"/>
      <c r="I109" s="88"/>
      <c r="J109" s="88"/>
      <c r="K109" s="87"/>
      <c r="L109" s="88" t="s">
        <v>399</v>
      </c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8"/>
      <c r="AE109" s="87"/>
    </row>
    <row r="110" spans="1:32" s="94" customFormat="1" x14ac:dyDescent="0.25"/>
    <row r="111" spans="1:32" x14ac:dyDescent="0.25">
      <c r="A111" s="77" t="s">
        <v>124</v>
      </c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</row>
    <row r="112" spans="1:32" x14ac:dyDescent="0.25">
      <c r="A112" s="78"/>
      <c r="B112" s="79" t="s">
        <v>342</v>
      </c>
      <c r="C112" s="80"/>
      <c r="D112" s="79" t="s">
        <v>343</v>
      </c>
      <c r="E112" s="81"/>
      <c r="F112" s="81"/>
      <c r="G112" s="81"/>
      <c r="H112" s="81"/>
      <c r="I112" s="81"/>
      <c r="J112" s="81"/>
      <c r="K112" s="80"/>
      <c r="L112" s="79" t="s">
        <v>344</v>
      </c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0"/>
    </row>
    <row r="113" spans="1:31" x14ac:dyDescent="0.25">
      <c r="A113" s="78"/>
      <c r="B113" s="82" t="s">
        <v>329</v>
      </c>
      <c r="C113" s="80"/>
      <c r="D113" s="83" t="s">
        <v>411</v>
      </c>
      <c r="E113" s="81"/>
      <c r="F113" s="81"/>
      <c r="G113" s="81"/>
      <c r="H113" s="81"/>
      <c r="I113" s="81"/>
      <c r="J113" s="81"/>
      <c r="K113" s="80"/>
      <c r="L113" s="82" t="s">
        <v>412</v>
      </c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  <c r="AA113" s="81"/>
      <c r="AB113" s="81"/>
      <c r="AC113" s="81"/>
      <c r="AD113" s="81"/>
      <c r="AE113" s="80"/>
    </row>
  </sheetData>
  <mergeCells count="1">
    <mergeCell ref="AG65:AT66"/>
  </mergeCells>
  <pageMargins left="0.70866141732283472" right="0.70866141732283472" top="0.78740157480314965" bottom="0.78740157480314965" header="0.31496062992125978" footer="0.31496062992125978"/>
  <pageSetup paperSize="9" scale="34" orientation="landscape"/>
  <headerFooter>
    <oddHeader>&amp;L&amp;"Arial"&amp;1 &amp;KFF8C00Hanon Systems – Confidential#</oddHead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V111"/>
  <sheetViews>
    <sheetView zoomScale="145" zoomScaleNormal="145" workbookViewId="0">
      <selection activeCell="J49" sqref="J49"/>
    </sheetView>
  </sheetViews>
  <sheetFormatPr defaultColWidth="3.5546875" defaultRowHeight="13.2" x14ac:dyDescent="0.25"/>
  <sheetData>
    <row r="1" spans="1:46" x14ac:dyDescent="0.25">
      <c r="A1" s="20" t="s">
        <v>413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69"/>
      <c r="AG1" s="20" t="s">
        <v>414</v>
      </c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</row>
    <row r="2" spans="1:46" x14ac:dyDescent="0.25">
      <c r="A2" s="21"/>
      <c r="B2" s="21"/>
      <c r="C2" s="21"/>
      <c r="D2" s="21"/>
      <c r="E2" s="21"/>
      <c r="F2" s="21"/>
      <c r="G2" s="21"/>
      <c r="H2" s="21"/>
      <c r="I2" s="21" t="s">
        <v>329</v>
      </c>
      <c r="J2" s="21"/>
      <c r="K2" s="21"/>
      <c r="L2" s="21" t="s">
        <v>330</v>
      </c>
      <c r="M2" s="21"/>
      <c r="N2" s="21"/>
      <c r="O2" s="21" t="s">
        <v>331</v>
      </c>
      <c r="P2" s="21"/>
      <c r="Q2" s="21"/>
      <c r="R2" s="21" t="s">
        <v>332</v>
      </c>
      <c r="S2" s="21"/>
      <c r="T2" s="21"/>
      <c r="U2" s="21" t="s">
        <v>333</v>
      </c>
      <c r="V2" s="21"/>
      <c r="W2" s="21"/>
      <c r="X2" s="21" t="s">
        <v>334</v>
      </c>
      <c r="Y2" s="21"/>
      <c r="Z2" s="21"/>
      <c r="AA2" s="21" t="s">
        <v>335</v>
      </c>
      <c r="AB2" s="21"/>
      <c r="AC2" s="21"/>
      <c r="AD2" s="21" t="s">
        <v>336</v>
      </c>
      <c r="AE2" s="21"/>
      <c r="AF2" s="69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</row>
    <row r="3" spans="1:46" x14ac:dyDescent="0.25">
      <c r="A3" s="14"/>
      <c r="B3" s="14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69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"/>
      <c r="B4" s="14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69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x14ac:dyDescent="0.25">
      <c r="A5" s="14"/>
      <c r="B5" s="14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69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x14ac:dyDescent="0.25">
      <c r="A6" s="14"/>
      <c r="B6" s="14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69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x14ac:dyDescent="0.25">
      <c r="A7" s="14"/>
      <c r="B7" s="14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9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14"/>
      <c r="B8" s="14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9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14"/>
      <c r="B9" s="14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69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14"/>
      <c r="B10" s="14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69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14"/>
      <c r="B11" s="14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69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x14ac:dyDescent="0.25">
      <c r="A12" s="14"/>
      <c r="B12" s="14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69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x14ac:dyDescent="0.25">
      <c r="A13" s="14"/>
      <c r="B13" s="14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69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x14ac:dyDescent="0.25">
      <c r="A14" s="14"/>
      <c r="B14" s="14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x14ac:dyDescent="0.25">
      <c r="A15" s="14"/>
      <c r="B15" s="14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"/>
      <c r="B16" s="14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</row>
    <row r="17" spans="1:46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20" t="s">
        <v>415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22" t="s">
        <v>416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69"/>
      <c r="AG18" s="95" t="s">
        <v>417</v>
      </c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31"/>
      <c r="B19" s="23" t="s">
        <v>418</v>
      </c>
      <c r="C19" s="24"/>
      <c r="D19" s="23" t="s">
        <v>419</v>
      </c>
      <c r="E19" s="25"/>
      <c r="F19" s="25"/>
      <c r="G19" s="25"/>
      <c r="H19" s="25"/>
      <c r="I19" s="25"/>
      <c r="J19" s="25"/>
      <c r="K19" s="24"/>
      <c r="L19" s="23" t="s">
        <v>344</v>
      </c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4"/>
      <c r="AF19" s="69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x14ac:dyDescent="0.25">
      <c r="A20" s="31"/>
      <c r="B20" s="26" t="s">
        <v>329</v>
      </c>
      <c r="C20" s="27"/>
      <c r="D20" s="26" t="s">
        <v>345</v>
      </c>
      <c r="E20" s="28"/>
      <c r="F20" s="28"/>
      <c r="G20" s="28"/>
      <c r="H20" s="28"/>
      <c r="I20" s="28"/>
      <c r="J20" s="28"/>
      <c r="K20" s="27"/>
      <c r="L20" s="28" t="s">
        <v>420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69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x14ac:dyDescent="0.25">
      <c r="A21" s="31"/>
      <c r="B21" s="29"/>
      <c r="C21" s="30"/>
      <c r="D21" s="29"/>
      <c r="E21" s="31"/>
      <c r="F21" s="31"/>
      <c r="G21" s="31"/>
      <c r="H21" s="31"/>
      <c r="I21" s="31"/>
      <c r="J21" s="31"/>
      <c r="K21" s="30"/>
      <c r="L21" s="31" t="s">
        <v>421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0"/>
      <c r="AF21" s="69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x14ac:dyDescent="0.25">
      <c r="A22" s="31"/>
      <c r="B22" s="32"/>
      <c r="C22" s="33"/>
      <c r="D22" s="29"/>
      <c r="E22" s="31"/>
      <c r="F22" s="31"/>
      <c r="G22" s="31"/>
      <c r="H22" s="31"/>
      <c r="I22" s="31"/>
      <c r="J22" s="31"/>
      <c r="K22" s="30"/>
      <c r="L22" s="34" t="s">
        <v>422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3"/>
      <c r="AF22" s="69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31"/>
      <c r="B23" s="26" t="s">
        <v>330</v>
      </c>
      <c r="C23" s="28"/>
      <c r="D23" s="144" t="s">
        <v>349</v>
      </c>
      <c r="E23" s="145"/>
      <c r="F23" s="145"/>
      <c r="G23" s="145"/>
      <c r="H23" s="145"/>
      <c r="I23" s="145"/>
      <c r="J23" s="145"/>
      <c r="K23" s="146"/>
      <c r="L23" s="96" t="s">
        <v>423</v>
      </c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  <c r="AF23" s="69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31"/>
      <c r="B24" s="29"/>
      <c r="C24" s="31"/>
      <c r="D24" s="147"/>
      <c r="E24" s="31"/>
      <c r="F24" s="31"/>
      <c r="G24" s="31"/>
      <c r="H24" s="31"/>
      <c r="I24" s="31"/>
      <c r="J24" s="31"/>
      <c r="K24" s="148"/>
      <c r="L24" s="141" t="s">
        <v>424</v>
      </c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0"/>
      <c r="AF24" s="69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31"/>
      <c r="B25" s="29"/>
      <c r="C25" s="31"/>
      <c r="D25" s="147"/>
      <c r="E25" s="31"/>
      <c r="F25" s="31"/>
      <c r="G25" s="31"/>
      <c r="H25" s="31"/>
      <c r="I25" s="31"/>
      <c r="J25" s="31"/>
      <c r="K25" s="148"/>
      <c r="L25" s="141" t="s">
        <v>425</v>
      </c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0"/>
      <c r="AF25" s="69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x14ac:dyDescent="0.25">
      <c r="A26" s="31"/>
      <c r="B26" s="32"/>
      <c r="C26" s="34"/>
      <c r="D26" s="149"/>
      <c r="E26" s="150"/>
      <c r="F26" s="150"/>
      <c r="G26" s="150"/>
      <c r="H26" s="150"/>
      <c r="I26" s="150"/>
      <c r="J26" s="150"/>
      <c r="K26" s="151"/>
      <c r="L26" s="143" t="s">
        <v>426</v>
      </c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3"/>
      <c r="AF26" s="69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x14ac:dyDescent="0.25">
      <c r="A27" s="31"/>
      <c r="B27" s="26" t="s">
        <v>331</v>
      </c>
      <c r="C27" s="27"/>
      <c r="D27" s="29" t="s">
        <v>354</v>
      </c>
      <c r="E27" s="31"/>
      <c r="F27" s="31"/>
      <c r="G27" s="31"/>
      <c r="H27" s="31"/>
      <c r="I27" s="31"/>
      <c r="J27" s="31"/>
      <c r="K27" s="30"/>
      <c r="L27" s="26" t="s">
        <v>427</v>
      </c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7"/>
      <c r="AF27" s="69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x14ac:dyDescent="0.25">
      <c r="A28" s="31"/>
      <c r="B28" s="32"/>
      <c r="C28" s="33"/>
      <c r="D28" s="32"/>
      <c r="E28" s="34"/>
      <c r="F28" s="34"/>
      <c r="G28" s="34"/>
      <c r="H28" s="34"/>
      <c r="I28" s="34"/>
      <c r="J28" s="34"/>
      <c r="K28" s="33"/>
      <c r="L28" s="32" t="s">
        <v>428</v>
      </c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3"/>
      <c r="AF28" s="69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1"/>
      <c r="B29" s="26" t="s">
        <v>332</v>
      </c>
      <c r="C29" s="27"/>
      <c r="D29" s="26" t="s">
        <v>292</v>
      </c>
      <c r="E29" s="28"/>
      <c r="F29" s="28"/>
      <c r="G29" s="28"/>
      <c r="H29" s="28"/>
      <c r="I29" s="28"/>
      <c r="J29" s="28"/>
      <c r="K29" s="27"/>
      <c r="L29" s="26" t="s">
        <v>429</v>
      </c>
      <c r="M29" s="28"/>
      <c r="N29" s="28"/>
      <c r="O29" s="28"/>
      <c r="P29" s="28"/>
      <c r="Q29" s="35" t="s">
        <v>430</v>
      </c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7"/>
      <c r="AF29" s="69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1"/>
      <c r="B30" s="29"/>
      <c r="C30" s="30"/>
      <c r="D30" s="29"/>
      <c r="E30" s="31"/>
      <c r="F30" s="31"/>
      <c r="G30" s="31"/>
      <c r="H30" s="31"/>
      <c r="I30" s="31"/>
      <c r="J30" s="31"/>
      <c r="K30" s="30"/>
      <c r="L30" s="29"/>
      <c r="M30" s="31"/>
      <c r="N30" s="31"/>
      <c r="O30" s="31"/>
      <c r="P30" s="31"/>
      <c r="Q30" s="36" t="s">
        <v>431</v>
      </c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0"/>
      <c r="AF30" s="69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x14ac:dyDescent="0.25">
      <c r="A31" s="31"/>
      <c r="B31" s="29"/>
      <c r="C31" s="30"/>
      <c r="D31" s="29"/>
      <c r="E31" s="31"/>
      <c r="F31" s="31"/>
      <c r="G31" s="31"/>
      <c r="H31" s="31"/>
      <c r="I31" s="31"/>
      <c r="J31" s="31"/>
      <c r="K31" s="30"/>
      <c r="L31" s="29" t="s">
        <v>421</v>
      </c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0"/>
      <c r="AF31" s="69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1"/>
      <c r="B32" s="32"/>
      <c r="C32" s="33"/>
      <c r="D32" s="32"/>
      <c r="E32" s="34"/>
      <c r="F32" s="34"/>
      <c r="G32" s="34"/>
      <c r="H32" s="34"/>
      <c r="I32" s="34"/>
      <c r="J32" s="34"/>
      <c r="K32" s="33"/>
      <c r="L32" s="32" t="s">
        <v>422</v>
      </c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3"/>
      <c r="AF32" s="69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6" t="s">
        <v>333</v>
      </c>
      <c r="C33" s="27"/>
      <c r="D33" s="26" t="s">
        <v>293</v>
      </c>
      <c r="E33" s="28"/>
      <c r="F33" s="28"/>
      <c r="G33" s="28"/>
      <c r="H33" s="28"/>
      <c r="I33" s="28"/>
      <c r="J33" s="28"/>
      <c r="K33" s="27"/>
      <c r="L33" s="26" t="s">
        <v>432</v>
      </c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7"/>
      <c r="AF33" s="69"/>
      <c r="AG33" s="95" t="s">
        <v>433</v>
      </c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1"/>
      <c r="B34" s="32"/>
      <c r="C34" s="33"/>
      <c r="D34" s="32"/>
      <c r="E34" s="34"/>
      <c r="F34" s="34"/>
      <c r="G34" s="34"/>
      <c r="H34" s="34"/>
      <c r="I34" s="34"/>
      <c r="J34" s="34"/>
      <c r="K34" s="33"/>
      <c r="L34" s="97" t="s">
        <v>434</v>
      </c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3"/>
      <c r="AF34" s="69"/>
      <c r="AG34" s="14"/>
      <c r="AH34" s="14" t="s">
        <v>435</v>
      </c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6" t="s">
        <v>334</v>
      </c>
      <c r="C35" s="27"/>
      <c r="D35" s="26" t="s">
        <v>294</v>
      </c>
      <c r="E35" s="28"/>
      <c r="F35" s="28"/>
      <c r="G35" s="28"/>
      <c r="H35" s="28"/>
      <c r="I35" s="28"/>
      <c r="J35" s="28"/>
      <c r="K35" s="27"/>
      <c r="L35" s="98" t="s">
        <v>436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7"/>
      <c r="AF35" s="69"/>
      <c r="AG35" s="14"/>
      <c r="AH35" s="14" t="s">
        <v>365</v>
      </c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1"/>
      <c r="B36" s="32"/>
      <c r="C36" s="33"/>
      <c r="D36" s="32"/>
      <c r="E36" s="34"/>
      <c r="F36" s="34"/>
      <c r="G36" s="34"/>
      <c r="H36" s="34"/>
      <c r="I36" s="34"/>
      <c r="J36" s="34"/>
      <c r="K36" s="33"/>
      <c r="L36" s="29" t="s">
        <v>434</v>
      </c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3"/>
      <c r="AF36" s="69"/>
      <c r="AG36" s="14"/>
      <c r="AH36" s="14" t="s">
        <v>366</v>
      </c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6" t="s">
        <v>335</v>
      </c>
      <c r="C37" s="27"/>
      <c r="D37" s="26" t="s">
        <v>295</v>
      </c>
      <c r="E37" s="28"/>
      <c r="F37" s="28"/>
      <c r="G37" s="28"/>
      <c r="H37" s="28"/>
      <c r="I37" s="28"/>
      <c r="J37" s="28"/>
      <c r="K37" s="27"/>
      <c r="L37" s="26" t="s">
        <v>437</v>
      </c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7"/>
      <c r="AF37" s="69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1"/>
      <c r="B38" s="32"/>
      <c r="C38" s="33"/>
      <c r="D38" s="32"/>
      <c r="E38" s="34"/>
      <c r="F38" s="34"/>
      <c r="G38" s="34"/>
      <c r="H38" s="34"/>
      <c r="I38" s="34"/>
      <c r="J38" s="34"/>
      <c r="K38" s="33"/>
      <c r="L38" s="32" t="s">
        <v>428</v>
      </c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3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</row>
    <row r="39" spans="1:46" x14ac:dyDescent="0.25">
      <c r="A39" s="31"/>
      <c r="B39" s="26" t="s">
        <v>336</v>
      </c>
      <c r="C39" s="27"/>
      <c r="D39" s="26" t="s">
        <v>296</v>
      </c>
      <c r="E39" s="28"/>
      <c r="F39" s="28"/>
      <c r="G39" s="28"/>
      <c r="H39" s="28"/>
      <c r="I39" s="28"/>
      <c r="J39" s="28"/>
      <c r="K39" s="27"/>
      <c r="L39" s="26" t="s">
        <v>438</v>
      </c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7"/>
      <c r="AF39" s="69"/>
      <c r="AG39" s="20" t="s">
        <v>439</v>
      </c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1"/>
      <c r="B40" s="32"/>
      <c r="C40" s="33"/>
      <c r="D40" s="32"/>
      <c r="E40" s="34"/>
      <c r="F40" s="34"/>
      <c r="G40" s="34"/>
      <c r="H40" s="34"/>
      <c r="I40" s="34"/>
      <c r="J40" s="34"/>
      <c r="K40" s="33"/>
      <c r="L40" s="32" t="s">
        <v>434</v>
      </c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3"/>
      <c r="AG40" s="14" t="s">
        <v>440</v>
      </c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7" t="s">
        <v>441</v>
      </c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69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46"/>
      <c r="B43" s="38" t="s">
        <v>418</v>
      </c>
      <c r="C43" s="39"/>
      <c r="D43" s="38" t="s">
        <v>419</v>
      </c>
      <c r="E43" s="40"/>
      <c r="F43" s="40"/>
      <c r="G43" s="40"/>
      <c r="H43" s="40"/>
      <c r="I43" s="40"/>
      <c r="J43" s="40"/>
      <c r="K43" s="39"/>
      <c r="L43" s="38" t="s">
        <v>344</v>
      </c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39"/>
      <c r="AF43" s="69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x14ac:dyDescent="0.25">
      <c r="A44" s="46"/>
      <c r="B44" s="41" t="s">
        <v>329</v>
      </c>
      <c r="C44" s="42"/>
      <c r="D44" s="41" t="s">
        <v>345</v>
      </c>
      <c r="E44" s="43"/>
      <c r="F44" s="43"/>
      <c r="G44" s="43"/>
      <c r="H44" s="43"/>
      <c r="I44" s="43"/>
      <c r="J44" s="43"/>
      <c r="K44" s="42"/>
      <c r="L44" s="99" t="s">
        <v>442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2"/>
      <c r="AF44" s="69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x14ac:dyDescent="0.25">
      <c r="A45" s="46"/>
      <c r="B45" s="44"/>
      <c r="C45" s="45"/>
      <c r="D45" s="44"/>
      <c r="E45" s="46"/>
      <c r="F45" s="46"/>
      <c r="G45" s="46"/>
      <c r="H45" s="46"/>
      <c r="I45" s="46"/>
      <c r="J45" s="46"/>
      <c r="K45" s="45"/>
      <c r="L45" s="100" t="s">
        <v>421</v>
      </c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5"/>
      <c r="AF45" s="69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</row>
    <row r="46" spans="1:46" x14ac:dyDescent="0.25">
      <c r="A46" s="46"/>
      <c r="B46" s="47"/>
      <c r="C46" s="48"/>
      <c r="D46" s="44"/>
      <c r="E46" s="46"/>
      <c r="F46" s="46"/>
      <c r="G46" s="46"/>
      <c r="H46" s="46"/>
      <c r="I46" s="46"/>
      <c r="J46" s="46"/>
      <c r="K46" s="45"/>
      <c r="L46" s="101" t="s">
        <v>422</v>
      </c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8"/>
      <c r="AF46" s="69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</row>
    <row r="47" spans="1:46" x14ac:dyDescent="0.25">
      <c r="A47" s="46"/>
      <c r="B47" s="41" t="s">
        <v>330</v>
      </c>
      <c r="C47" s="43"/>
      <c r="D47" s="160" t="s">
        <v>349</v>
      </c>
      <c r="E47" s="153"/>
      <c r="F47" s="153"/>
      <c r="G47" s="153"/>
      <c r="H47" s="153"/>
      <c r="I47" s="153"/>
      <c r="J47" s="153"/>
      <c r="K47" s="154"/>
      <c r="L47" s="43" t="s">
        <v>423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2"/>
      <c r="AF47" s="69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</row>
    <row r="48" spans="1:46" x14ac:dyDescent="0.25">
      <c r="A48" s="46"/>
      <c r="B48" s="44"/>
      <c r="C48" s="46"/>
      <c r="D48" s="155"/>
      <c r="E48" s="46"/>
      <c r="F48" s="46"/>
      <c r="G48" s="46"/>
      <c r="H48" s="46"/>
      <c r="I48" s="46"/>
      <c r="J48" s="46"/>
      <c r="K48" s="156"/>
      <c r="L48" s="46" t="s">
        <v>424</v>
      </c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5"/>
      <c r="AF48" s="69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</row>
    <row r="49" spans="1:46" x14ac:dyDescent="0.25">
      <c r="A49" s="46"/>
      <c r="B49" s="44"/>
      <c r="C49" s="46"/>
      <c r="D49" s="155"/>
      <c r="E49" s="46"/>
      <c r="F49" s="46"/>
      <c r="G49" s="46"/>
      <c r="H49" s="46"/>
      <c r="I49" s="46"/>
      <c r="J49" s="46"/>
      <c r="K49" s="156"/>
      <c r="L49" s="46" t="s">
        <v>425</v>
      </c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5"/>
      <c r="AF49" s="69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</row>
    <row r="50" spans="1:46" x14ac:dyDescent="0.25">
      <c r="A50" s="46"/>
      <c r="B50" s="44"/>
      <c r="C50" s="46"/>
      <c r="D50" s="157"/>
      <c r="E50" s="158"/>
      <c r="F50" s="158"/>
      <c r="G50" s="158"/>
      <c r="H50" s="158"/>
      <c r="I50" s="158"/>
      <c r="J50" s="158"/>
      <c r="K50" s="159"/>
      <c r="L50" s="46" t="s">
        <v>426</v>
      </c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5"/>
      <c r="AF50" s="69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</row>
    <row r="51" spans="1:46" x14ac:dyDescent="0.25">
      <c r="A51" s="46"/>
      <c r="B51" s="41" t="s">
        <v>331</v>
      </c>
      <c r="C51" s="42"/>
      <c r="D51" s="44" t="s">
        <v>372</v>
      </c>
      <c r="E51" s="46"/>
      <c r="F51" s="46"/>
      <c r="G51" s="46"/>
      <c r="H51" s="46"/>
      <c r="I51" s="46"/>
      <c r="J51" s="46"/>
      <c r="K51" s="45"/>
      <c r="L51" s="102" t="s">
        <v>427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2"/>
      <c r="AF51" s="69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</row>
    <row r="52" spans="1:46" x14ac:dyDescent="0.25">
      <c r="A52" s="46"/>
      <c r="B52" s="44"/>
      <c r="C52" s="45"/>
      <c r="D52" s="50" t="s">
        <v>373</v>
      </c>
      <c r="E52" s="46"/>
      <c r="F52" s="46"/>
      <c r="G52" s="46"/>
      <c r="H52" s="46"/>
      <c r="I52" s="46"/>
      <c r="J52" s="46"/>
      <c r="K52" s="45"/>
      <c r="L52" s="103" t="s">
        <v>443</v>
      </c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5"/>
      <c r="AF52" s="69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</row>
    <row r="53" spans="1:46" x14ac:dyDescent="0.25">
      <c r="A53" s="46"/>
      <c r="B53" s="44"/>
      <c r="C53" s="45"/>
      <c r="D53" s="44" t="s">
        <v>375</v>
      </c>
      <c r="E53" s="46"/>
      <c r="F53" s="46"/>
      <c r="G53" s="46"/>
      <c r="H53" s="46"/>
      <c r="I53" s="46"/>
      <c r="J53" s="46"/>
      <c r="K53" s="45"/>
      <c r="L53" s="103" t="s">
        <v>444</v>
      </c>
      <c r="M53" s="46"/>
      <c r="N53" s="46"/>
      <c r="O53" s="46"/>
      <c r="P53" s="46"/>
      <c r="Q53" s="51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5"/>
      <c r="AF53" s="69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</row>
    <row r="54" spans="1:46" x14ac:dyDescent="0.25">
      <c r="A54" s="46"/>
      <c r="B54" s="47"/>
      <c r="C54" s="48"/>
      <c r="D54" s="47"/>
      <c r="E54" s="49"/>
      <c r="F54" s="49"/>
      <c r="G54" s="49"/>
      <c r="H54" s="49"/>
      <c r="I54" s="49"/>
      <c r="J54" s="49"/>
      <c r="K54" s="48"/>
      <c r="L54" s="104" t="s">
        <v>445</v>
      </c>
      <c r="M54" s="49"/>
      <c r="N54" s="49"/>
      <c r="O54" s="49"/>
      <c r="P54" s="49"/>
      <c r="Q54" s="52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8"/>
      <c r="AF54" s="69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</row>
    <row r="55" spans="1:46" x14ac:dyDescent="0.25">
      <c r="A55" s="46"/>
      <c r="B55" s="44" t="s">
        <v>332</v>
      </c>
      <c r="C55" s="45"/>
      <c r="D55" s="44" t="s">
        <v>292</v>
      </c>
      <c r="E55" s="46"/>
      <c r="F55" s="46"/>
      <c r="G55" s="46"/>
      <c r="H55" s="46"/>
      <c r="I55" s="46"/>
      <c r="J55" s="46"/>
      <c r="K55" s="45"/>
      <c r="L55" s="103" t="s">
        <v>429</v>
      </c>
      <c r="M55" s="46"/>
      <c r="N55" s="46"/>
      <c r="O55" s="46"/>
      <c r="P55" s="46"/>
      <c r="Q55" s="105" t="s">
        <v>430</v>
      </c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5"/>
      <c r="AF55" s="69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</row>
    <row r="56" spans="1:46" x14ac:dyDescent="0.25">
      <c r="A56" s="46"/>
      <c r="B56" s="44"/>
      <c r="C56" s="45"/>
      <c r="D56" s="44"/>
      <c r="E56" s="46"/>
      <c r="F56" s="46"/>
      <c r="G56" s="46"/>
      <c r="H56" s="46"/>
      <c r="I56" s="46"/>
      <c r="J56" s="46"/>
      <c r="K56" s="45"/>
      <c r="L56" s="44"/>
      <c r="M56" s="46"/>
      <c r="N56" s="46"/>
      <c r="O56" s="46"/>
      <c r="P56" s="46"/>
      <c r="Q56" s="105" t="s">
        <v>431</v>
      </c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5"/>
      <c r="AF56" s="69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</row>
    <row r="57" spans="1:46" x14ac:dyDescent="0.25">
      <c r="A57" s="46"/>
      <c r="B57" s="44"/>
      <c r="C57" s="45"/>
      <c r="D57" s="44"/>
      <c r="E57" s="46"/>
      <c r="F57" s="46"/>
      <c r="G57" s="46"/>
      <c r="H57" s="46"/>
      <c r="I57" s="46"/>
      <c r="J57" s="46"/>
      <c r="K57" s="45"/>
      <c r="L57" s="103" t="s">
        <v>421</v>
      </c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5"/>
      <c r="AF57" s="69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</row>
    <row r="58" spans="1:46" x14ac:dyDescent="0.25">
      <c r="A58" s="46"/>
      <c r="B58" s="47"/>
      <c r="C58" s="48"/>
      <c r="D58" s="47"/>
      <c r="E58" s="49"/>
      <c r="F58" s="49"/>
      <c r="G58" s="49"/>
      <c r="H58" s="49"/>
      <c r="I58" s="49"/>
      <c r="J58" s="49"/>
      <c r="K58" s="48"/>
      <c r="L58" s="47" t="s">
        <v>422</v>
      </c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8"/>
      <c r="AF58" s="69"/>
      <c r="AG58" s="14" t="s">
        <v>433</v>
      </c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</row>
    <row r="59" spans="1:46" x14ac:dyDescent="0.25">
      <c r="A59" s="46"/>
      <c r="B59" s="41" t="s">
        <v>333</v>
      </c>
      <c r="C59" s="42"/>
      <c r="D59" s="41" t="s">
        <v>293</v>
      </c>
      <c r="E59" s="43"/>
      <c r="F59" s="43"/>
      <c r="G59" s="43"/>
      <c r="H59" s="43"/>
      <c r="I59" s="43"/>
      <c r="J59" s="43"/>
      <c r="K59" s="42"/>
      <c r="L59" s="102" t="s">
        <v>432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2"/>
      <c r="AF59" s="69"/>
      <c r="AG59" s="14"/>
      <c r="AH59" s="14" t="s">
        <v>378</v>
      </c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</row>
    <row r="60" spans="1:46" x14ac:dyDescent="0.25">
      <c r="A60" s="46"/>
      <c r="B60" s="44"/>
      <c r="C60" s="45"/>
      <c r="D60" s="44"/>
      <c r="E60" s="46"/>
      <c r="F60" s="46"/>
      <c r="G60" s="46"/>
      <c r="H60" s="46"/>
      <c r="I60" s="46"/>
      <c r="J60" s="46"/>
      <c r="K60" s="45"/>
      <c r="L60" s="104" t="s">
        <v>434</v>
      </c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5"/>
      <c r="AF60" s="69"/>
      <c r="AG60" s="14"/>
      <c r="AH60" s="14" t="s">
        <v>379</v>
      </c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</row>
    <row r="61" spans="1:46" x14ac:dyDescent="0.25">
      <c r="A61" s="46"/>
      <c r="B61" s="41" t="s">
        <v>334</v>
      </c>
      <c r="C61" s="42"/>
      <c r="D61" s="41" t="s">
        <v>302</v>
      </c>
      <c r="E61" s="43"/>
      <c r="F61" s="43"/>
      <c r="G61" s="43"/>
      <c r="H61" s="43"/>
      <c r="I61" s="43"/>
      <c r="J61" s="43"/>
      <c r="K61" s="42"/>
      <c r="L61" s="102" t="s">
        <v>446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2"/>
      <c r="AF61" s="69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</row>
    <row r="62" spans="1:46" x14ac:dyDescent="0.25">
      <c r="A62" s="46"/>
      <c r="B62" s="44"/>
      <c r="C62" s="45"/>
      <c r="D62" s="44"/>
      <c r="E62" s="46"/>
      <c r="F62" s="46"/>
      <c r="G62" s="46"/>
      <c r="H62" s="46"/>
      <c r="I62" s="46"/>
      <c r="J62" s="46"/>
      <c r="K62" s="45"/>
      <c r="L62" s="103" t="s">
        <v>447</v>
      </c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5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</row>
    <row r="63" spans="1:46" x14ac:dyDescent="0.25">
      <c r="A63" s="46"/>
      <c r="B63" s="44"/>
      <c r="C63" s="45"/>
      <c r="D63" s="44"/>
      <c r="E63" s="46"/>
      <c r="F63" s="46"/>
      <c r="G63" s="46"/>
      <c r="H63" s="46"/>
      <c r="I63" s="46"/>
      <c r="J63" s="46"/>
      <c r="K63" s="45"/>
      <c r="L63" s="44" t="s">
        <v>422</v>
      </c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5"/>
      <c r="AF63" s="69"/>
      <c r="AG63" s="301" t="s">
        <v>448</v>
      </c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</row>
    <row r="64" spans="1:46" x14ac:dyDescent="0.25">
      <c r="A64" s="46"/>
      <c r="B64" s="41" t="s">
        <v>335</v>
      </c>
      <c r="C64" s="42"/>
      <c r="D64" s="41" t="s">
        <v>295</v>
      </c>
      <c r="E64" s="43"/>
      <c r="F64" s="43"/>
      <c r="G64" s="43"/>
      <c r="H64" s="43"/>
      <c r="I64" s="43"/>
      <c r="J64" s="43"/>
      <c r="K64" s="42"/>
      <c r="L64" s="102" t="s">
        <v>437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2"/>
      <c r="AF64" s="69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</row>
    <row r="65" spans="1:46" x14ac:dyDescent="0.25">
      <c r="A65" s="46"/>
      <c r="B65" s="44"/>
      <c r="C65" s="45"/>
      <c r="D65" s="50" t="s">
        <v>373</v>
      </c>
      <c r="E65" s="46"/>
      <c r="F65" s="46"/>
      <c r="G65" s="46"/>
      <c r="H65" s="46"/>
      <c r="I65" s="46"/>
      <c r="J65" s="46"/>
      <c r="K65" s="45"/>
      <c r="L65" s="103" t="s">
        <v>443</v>
      </c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5"/>
      <c r="AF65" s="69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</row>
    <row r="66" spans="1:46" x14ac:dyDescent="0.25">
      <c r="A66" s="46"/>
      <c r="B66" s="44"/>
      <c r="C66" s="45"/>
      <c r="D66" s="44" t="s">
        <v>384</v>
      </c>
      <c r="E66" s="46"/>
      <c r="F66" s="46"/>
      <c r="G66" s="46"/>
      <c r="H66" s="46"/>
      <c r="I66" s="46"/>
      <c r="J66" s="46"/>
      <c r="K66" s="45"/>
      <c r="L66" s="103" t="s">
        <v>449</v>
      </c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5"/>
      <c r="AF66" s="69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</row>
    <row r="67" spans="1:46" x14ac:dyDescent="0.25">
      <c r="A67" s="46"/>
      <c r="B67" s="47"/>
      <c r="C67" s="48"/>
      <c r="D67" s="47"/>
      <c r="E67" s="49"/>
      <c r="F67" s="49"/>
      <c r="G67" s="49"/>
      <c r="H67" s="49"/>
      <c r="I67" s="49"/>
      <c r="J67" s="49"/>
      <c r="K67" s="48"/>
      <c r="L67" s="104" t="s">
        <v>445</v>
      </c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8"/>
      <c r="AF67" s="69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</row>
    <row r="68" spans="1:46" x14ac:dyDescent="0.25">
      <c r="A68" s="46"/>
      <c r="B68" s="44" t="s">
        <v>336</v>
      </c>
      <c r="C68" s="45"/>
      <c r="D68" s="44" t="s">
        <v>296</v>
      </c>
      <c r="E68" s="46"/>
      <c r="F68" s="46"/>
      <c r="G68" s="46"/>
      <c r="H68" s="46"/>
      <c r="I68" s="46"/>
      <c r="J68" s="46"/>
      <c r="K68" s="45"/>
      <c r="L68" s="103" t="s">
        <v>438</v>
      </c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5"/>
      <c r="AF68" s="69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</row>
    <row r="69" spans="1:46" x14ac:dyDescent="0.25">
      <c r="A69" s="46"/>
      <c r="B69" s="47"/>
      <c r="C69" s="48"/>
      <c r="D69" s="47"/>
      <c r="E69" s="49"/>
      <c r="F69" s="49"/>
      <c r="G69" s="49"/>
      <c r="H69" s="49"/>
      <c r="I69" s="49"/>
      <c r="J69" s="49"/>
      <c r="K69" s="48"/>
      <c r="L69" s="104" t="s">
        <v>434</v>
      </c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8"/>
      <c r="AF69" s="69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</row>
    <row r="70" spans="1:46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</row>
    <row r="71" spans="1:46" x14ac:dyDescent="0.25">
      <c r="A71" s="53" t="s">
        <v>450</v>
      </c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9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</row>
    <row r="72" spans="1:46" x14ac:dyDescent="0.25">
      <c r="A72" s="62"/>
      <c r="B72" s="54" t="s">
        <v>418</v>
      </c>
      <c r="C72" s="55"/>
      <c r="D72" s="54" t="s">
        <v>419</v>
      </c>
      <c r="E72" s="56"/>
      <c r="F72" s="56"/>
      <c r="G72" s="56"/>
      <c r="H72" s="56"/>
      <c r="I72" s="56"/>
      <c r="J72" s="56"/>
      <c r="K72" s="55"/>
      <c r="L72" s="54" t="s">
        <v>344</v>
      </c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5"/>
      <c r="AF72" s="69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</row>
    <row r="73" spans="1:46" x14ac:dyDescent="0.25">
      <c r="A73" s="62"/>
      <c r="B73" s="57" t="s">
        <v>329</v>
      </c>
      <c r="C73" s="58"/>
      <c r="D73" s="57" t="s">
        <v>345</v>
      </c>
      <c r="E73" s="59"/>
      <c r="F73" s="59"/>
      <c r="G73" s="59"/>
      <c r="H73" s="59"/>
      <c r="I73" s="59"/>
      <c r="J73" s="59"/>
      <c r="K73" s="58"/>
      <c r="L73" s="106" t="s">
        <v>442</v>
      </c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8"/>
      <c r="AF73" s="69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</row>
    <row r="74" spans="1:46" x14ac:dyDescent="0.25">
      <c r="A74" s="62"/>
      <c r="B74" s="60"/>
      <c r="C74" s="61"/>
      <c r="D74" s="60"/>
      <c r="E74" s="62"/>
      <c r="F74" s="62"/>
      <c r="G74" s="62"/>
      <c r="H74" s="62"/>
      <c r="I74" s="62"/>
      <c r="J74" s="62"/>
      <c r="K74" s="61"/>
      <c r="L74" s="107" t="s">
        <v>421</v>
      </c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1"/>
      <c r="AF74" s="69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</row>
    <row r="75" spans="1:46" x14ac:dyDescent="0.25">
      <c r="A75" s="62"/>
      <c r="B75" s="63"/>
      <c r="C75" s="64"/>
      <c r="D75" s="63"/>
      <c r="E75" s="65"/>
      <c r="F75" s="65"/>
      <c r="G75" s="65"/>
      <c r="H75" s="65"/>
      <c r="I75" s="65"/>
      <c r="J75" s="65"/>
      <c r="K75" s="64"/>
      <c r="L75" s="108" t="s">
        <v>422</v>
      </c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4"/>
      <c r="AF75" s="69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</row>
    <row r="76" spans="1:46" x14ac:dyDescent="0.25">
      <c r="A76" s="62"/>
      <c r="B76" s="57" t="s">
        <v>330</v>
      </c>
      <c r="C76" s="58"/>
      <c r="D76" s="57" t="s">
        <v>297</v>
      </c>
      <c r="E76" s="59"/>
      <c r="F76" s="59"/>
      <c r="G76" s="59"/>
      <c r="H76" s="59"/>
      <c r="I76" s="59"/>
      <c r="J76" s="59"/>
      <c r="K76" s="58"/>
      <c r="L76" s="62" t="s">
        <v>451</v>
      </c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8"/>
      <c r="AF76" s="69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</row>
    <row r="77" spans="1:46" x14ac:dyDescent="0.25">
      <c r="A77" s="62"/>
      <c r="B77" s="60"/>
      <c r="C77" s="61"/>
      <c r="D77" s="60"/>
      <c r="E77" s="62"/>
      <c r="F77" s="62"/>
      <c r="G77" s="62"/>
      <c r="H77" s="62"/>
      <c r="I77" s="62"/>
      <c r="J77" s="62"/>
      <c r="K77" s="61"/>
      <c r="L77" s="62" t="s">
        <v>452</v>
      </c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1"/>
      <c r="AF77" s="69"/>
      <c r="AG77" s="14" t="s">
        <v>453</v>
      </c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</row>
    <row r="78" spans="1:46" x14ac:dyDescent="0.25">
      <c r="A78" s="62"/>
      <c r="B78" s="60"/>
      <c r="C78" s="61"/>
      <c r="D78" s="60"/>
      <c r="E78" s="62"/>
      <c r="F78" s="62"/>
      <c r="G78" s="62"/>
      <c r="H78" s="62"/>
      <c r="I78" s="62"/>
      <c r="J78" s="62"/>
      <c r="K78" s="61"/>
      <c r="L78" s="62" t="s">
        <v>454</v>
      </c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1"/>
      <c r="AF78" s="69"/>
      <c r="AG78" s="14"/>
      <c r="AH78" s="14" t="s">
        <v>455</v>
      </c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</row>
    <row r="79" spans="1:46" x14ac:dyDescent="0.25">
      <c r="A79" s="62"/>
      <c r="B79" s="66" t="s">
        <v>331</v>
      </c>
      <c r="C79" s="55"/>
      <c r="D79" s="66" t="s">
        <v>392</v>
      </c>
      <c r="E79" s="56"/>
      <c r="F79" s="56"/>
      <c r="G79" s="56"/>
      <c r="H79" s="56"/>
      <c r="I79" s="56"/>
      <c r="J79" s="56"/>
      <c r="K79" s="55"/>
      <c r="L79" s="66" t="s">
        <v>456</v>
      </c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5"/>
      <c r="AF79" s="69"/>
      <c r="AG79" s="14"/>
      <c r="AH79" s="14" t="s">
        <v>457</v>
      </c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</row>
    <row r="80" spans="1:46" x14ac:dyDescent="0.25">
      <c r="A80" s="62"/>
      <c r="B80" s="57" t="s">
        <v>335</v>
      </c>
      <c r="C80" s="58"/>
      <c r="D80" s="57" t="s">
        <v>299</v>
      </c>
      <c r="E80" s="59"/>
      <c r="F80" s="59"/>
      <c r="G80" s="59"/>
      <c r="H80" s="59"/>
      <c r="I80" s="59"/>
      <c r="J80" s="59"/>
      <c r="K80" s="58"/>
      <c r="L80" s="109" t="s">
        <v>458</v>
      </c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8"/>
      <c r="AF80" s="69"/>
      <c r="AG80" s="14"/>
      <c r="AH80" s="14" t="s">
        <v>459</v>
      </c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</row>
    <row r="81" spans="1:47" x14ac:dyDescent="0.25">
      <c r="A81" s="62"/>
      <c r="B81" s="63"/>
      <c r="C81" s="64"/>
      <c r="D81" s="63"/>
      <c r="E81" s="65"/>
      <c r="F81" s="65"/>
      <c r="G81" s="65"/>
      <c r="H81" s="65"/>
      <c r="I81" s="65"/>
      <c r="J81" s="65"/>
      <c r="K81" s="64"/>
      <c r="L81" s="63" t="s">
        <v>460</v>
      </c>
      <c r="M81" s="65"/>
      <c r="N81" s="65"/>
      <c r="O81" s="65"/>
      <c r="P81" s="65"/>
      <c r="Q81" s="67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4"/>
      <c r="AF81" s="69"/>
      <c r="AG81" s="14"/>
      <c r="AH81" s="14" t="s">
        <v>461</v>
      </c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</row>
    <row r="82" spans="1:47" x14ac:dyDescent="0.25">
      <c r="A82" s="62"/>
      <c r="B82" s="57" t="s">
        <v>336</v>
      </c>
      <c r="C82" s="58"/>
      <c r="D82" s="57" t="s">
        <v>300</v>
      </c>
      <c r="E82" s="59"/>
      <c r="F82" s="59"/>
      <c r="G82" s="59"/>
      <c r="H82" s="59"/>
      <c r="I82" s="59"/>
      <c r="J82" s="59"/>
      <c r="K82" s="58"/>
      <c r="L82" s="109" t="s">
        <v>462</v>
      </c>
      <c r="M82" s="59"/>
      <c r="N82" s="59"/>
      <c r="O82" s="59"/>
      <c r="P82" s="59"/>
      <c r="Q82" s="68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8"/>
      <c r="AF82" s="69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</row>
    <row r="83" spans="1:47" x14ac:dyDescent="0.25">
      <c r="A83" s="62"/>
      <c r="B83" s="63"/>
      <c r="C83" s="64"/>
      <c r="D83" s="63"/>
      <c r="E83" s="65"/>
      <c r="F83" s="65"/>
      <c r="G83" s="65"/>
      <c r="H83" s="65"/>
      <c r="I83" s="65"/>
      <c r="J83" s="65"/>
      <c r="K83" s="64"/>
      <c r="L83" s="110" t="s">
        <v>460</v>
      </c>
      <c r="M83" s="65"/>
      <c r="N83" s="65"/>
      <c r="O83" s="65"/>
      <c r="P83" s="65"/>
      <c r="Q83" s="67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4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</row>
    <row r="84" spans="1:47" ht="19.5" customHeight="1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70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305" t="s">
        <v>463</v>
      </c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5"/>
    </row>
    <row r="85" spans="1:47" x14ac:dyDescent="0.25">
      <c r="A85" s="71" t="s">
        <v>464</v>
      </c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69"/>
      <c r="AG85" s="306"/>
      <c r="AH85" s="307"/>
      <c r="AI85" s="307"/>
      <c r="AJ85" s="307"/>
      <c r="AK85" s="307"/>
      <c r="AL85" s="307"/>
      <c r="AM85" s="307"/>
      <c r="AN85" s="307"/>
      <c r="AO85" s="307"/>
      <c r="AP85" s="307"/>
      <c r="AQ85" s="307"/>
      <c r="AR85" s="307"/>
      <c r="AS85" s="307"/>
      <c r="AT85" s="307"/>
      <c r="AU85" s="308"/>
    </row>
    <row r="86" spans="1:47" ht="19.5" customHeight="1" x14ac:dyDescent="0.25">
      <c r="A86" s="72"/>
      <c r="B86" s="73" t="s">
        <v>418</v>
      </c>
      <c r="C86" s="74"/>
      <c r="D86" s="73" t="s">
        <v>419</v>
      </c>
      <c r="E86" s="75"/>
      <c r="F86" s="75"/>
      <c r="G86" s="75"/>
      <c r="H86" s="75"/>
      <c r="I86" s="75"/>
      <c r="J86" s="75"/>
      <c r="K86" s="74"/>
      <c r="L86" s="73" t="s">
        <v>344</v>
      </c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4"/>
      <c r="AF86" s="69"/>
      <c r="AG86" s="305" t="s">
        <v>465</v>
      </c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5"/>
    </row>
    <row r="87" spans="1:47" x14ac:dyDescent="0.25">
      <c r="A87" s="72"/>
      <c r="B87" s="76" t="s">
        <v>329</v>
      </c>
      <c r="C87" s="74"/>
      <c r="D87" s="76" t="s">
        <v>316</v>
      </c>
      <c r="E87" s="75"/>
      <c r="F87" s="75"/>
      <c r="G87" s="75"/>
      <c r="H87" s="75"/>
      <c r="I87" s="75"/>
      <c r="J87" s="75"/>
      <c r="K87" s="74"/>
      <c r="L87" s="76" t="s">
        <v>466</v>
      </c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4"/>
      <c r="AF87" s="69"/>
      <c r="AG87" s="306"/>
      <c r="AH87" s="307"/>
      <c r="AI87" s="307"/>
      <c r="AJ87" s="307"/>
      <c r="AK87" s="307"/>
      <c r="AL87" s="307"/>
      <c r="AM87" s="307"/>
      <c r="AN87" s="307"/>
      <c r="AO87" s="307"/>
      <c r="AP87" s="307"/>
      <c r="AQ87" s="307"/>
      <c r="AR87" s="307"/>
      <c r="AS87" s="307"/>
      <c r="AT87" s="307"/>
      <c r="AU87" s="308"/>
    </row>
    <row r="88" spans="1:47" ht="19.5" customHeight="1" x14ac:dyDescent="0.25">
      <c r="A88" s="72"/>
      <c r="B88" s="76" t="s">
        <v>330</v>
      </c>
      <c r="C88" s="74"/>
      <c r="D88" s="76" t="s">
        <v>317</v>
      </c>
      <c r="E88" s="75"/>
      <c r="F88" s="75"/>
      <c r="G88" s="75"/>
      <c r="H88" s="75"/>
      <c r="I88" s="75"/>
      <c r="J88" s="75"/>
      <c r="K88" s="74"/>
      <c r="L88" s="76" t="s">
        <v>467</v>
      </c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4"/>
      <c r="AF88" s="69"/>
      <c r="AG88" s="305" t="s">
        <v>468</v>
      </c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5"/>
    </row>
    <row r="89" spans="1:47" x14ac:dyDescent="0.25">
      <c r="A89" s="72"/>
      <c r="B89" s="76" t="s">
        <v>335</v>
      </c>
      <c r="C89" s="74"/>
      <c r="D89" s="76" t="s">
        <v>318</v>
      </c>
      <c r="E89" s="75"/>
      <c r="F89" s="75"/>
      <c r="G89" s="75"/>
      <c r="H89" s="75"/>
      <c r="I89" s="75"/>
      <c r="J89" s="75"/>
      <c r="K89" s="74"/>
      <c r="L89" s="76" t="s">
        <v>469</v>
      </c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4"/>
      <c r="AF89" s="69"/>
      <c r="AG89" s="216"/>
      <c r="AH89" s="202"/>
      <c r="AI89" s="202"/>
      <c r="AJ89" s="202"/>
      <c r="AK89" s="202"/>
      <c r="AL89" s="202"/>
      <c r="AM89" s="202"/>
      <c r="AN89" s="202"/>
      <c r="AO89" s="202"/>
      <c r="AP89" s="202"/>
      <c r="AQ89" s="202"/>
      <c r="AR89" s="202"/>
      <c r="AS89" s="202"/>
      <c r="AT89" s="202"/>
      <c r="AU89" s="217"/>
    </row>
    <row r="90" spans="1:47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306"/>
      <c r="AH90" s="307"/>
      <c r="AI90" s="307"/>
      <c r="AJ90" s="307"/>
      <c r="AK90" s="307"/>
      <c r="AL90" s="307"/>
      <c r="AM90" s="307"/>
      <c r="AN90" s="307"/>
      <c r="AO90" s="307"/>
      <c r="AP90" s="307"/>
      <c r="AQ90" s="307"/>
      <c r="AR90" s="307"/>
      <c r="AS90" s="307"/>
      <c r="AT90" s="307"/>
      <c r="AU90" s="308"/>
    </row>
    <row r="91" spans="1:47" ht="19.5" customHeight="1" x14ac:dyDescent="0.25">
      <c r="A91" s="84" t="s">
        <v>470</v>
      </c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69"/>
      <c r="AG91" s="305" t="s">
        <v>471</v>
      </c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5"/>
    </row>
    <row r="92" spans="1:47" x14ac:dyDescent="0.25">
      <c r="A92" s="85"/>
      <c r="B92" s="86" t="s">
        <v>418</v>
      </c>
      <c r="C92" s="87"/>
      <c r="D92" s="86" t="s">
        <v>419</v>
      </c>
      <c r="E92" s="88"/>
      <c r="F92" s="88"/>
      <c r="G92" s="88"/>
      <c r="H92" s="88"/>
      <c r="I92" s="88"/>
      <c r="J92" s="88"/>
      <c r="K92" s="87"/>
      <c r="L92" s="86" t="s">
        <v>344</v>
      </c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7"/>
      <c r="AF92" s="69"/>
      <c r="AG92" s="306"/>
      <c r="AH92" s="307"/>
      <c r="AI92" s="307"/>
      <c r="AJ92" s="307"/>
      <c r="AK92" s="307"/>
      <c r="AL92" s="307"/>
      <c r="AM92" s="307"/>
      <c r="AN92" s="307"/>
      <c r="AO92" s="307"/>
      <c r="AP92" s="307"/>
      <c r="AQ92" s="307"/>
      <c r="AR92" s="307"/>
      <c r="AS92" s="307"/>
      <c r="AT92" s="307"/>
      <c r="AU92" s="308"/>
    </row>
    <row r="93" spans="1:47" ht="19.5" customHeight="1" x14ac:dyDescent="0.25">
      <c r="A93" s="85"/>
      <c r="B93" s="89" t="s">
        <v>329</v>
      </c>
      <c r="C93" s="87"/>
      <c r="D93" s="90" t="s">
        <v>320</v>
      </c>
      <c r="E93" s="88"/>
      <c r="F93" s="88"/>
      <c r="G93" s="88"/>
      <c r="H93" s="88"/>
      <c r="I93" s="88"/>
      <c r="J93" s="88"/>
      <c r="K93" s="87"/>
      <c r="L93" s="91" t="s">
        <v>472</v>
      </c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7"/>
      <c r="AF93" s="69"/>
      <c r="AG93" s="305" t="s">
        <v>473</v>
      </c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5"/>
    </row>
    <row r="94" spans="1:47" x14ac:dyDescent="0.25">
      <c r="A94" s="85"/>
      <c r="B94" s="91" t="s">
        <v>330</v>
      </c>
      <c r="C94" s="87"/>
      <c r="D94" s="90" t="s">
        <v>321</v>
      </c>
      <c r="E94" s="88"/>
      <c r="F94" s="88"/>
      <c r="G94" s="88"/>
      <c r="H94" s="88"/>
      <c r="I94" s="88"/>
      <c r="J94" s="88"/>
      <c r="K94" s="87"/>
      <c r="L94" s="91" t="s">
        <v>474</v>
      </c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7"/>
      <c r="AF94" s="69"/>
      <c r="AG94" s="306"/>
      <c r="AH94" s="307"/>
      <c r="AI94" s="307"/>
      <c r="AJ94" s="307"/>
      <c r="AK94" s="307"/>
      <c r="AL94" s="307"/>
      <c r="AM94" s="307"/>
      <c r="AN94" s="307"/>
      <c r="AO94" s="307"/>
      <c r="AP94" s="307"/>
      <c r="AQ94" s="307"/>
      <c r="AR94" s="307"/>
      <c r="AS94" s="307"/>
      <c r="AT94" s="307"/>
      <c r="AU94" s="308"/>
    </row>
    <row r="95" spans="1:47" ht="19.5" customHeight="1" x14ac:dyDescent="0.25">
      <c r="A95" s="85"/>
      <c r="B95" s="91" t="s">
        <v>331</v>
      </c>
      <c r="C95" s="87"/>
      <c r="D95" s="90" t="s">
        <v>322</v>
      </c>
      <c r="E95" s="88"/>
      <c r="F95" s="88"/>
      <c r="G95" s="88"/>
      <c r="H95" s="88"/>
      <c r="I95" s="88"/>
      <c r="J95" s="88"/>
      <c r="K95" s="87"/>
      <c r="L95" s="91" t="s">
        <v>475</v>
      </c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7"/>
      <c r="AF95" s="69"/>
      <c r="AG95" s="305" t="s">
        <v>476</v>
      </c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5"/>
    </row>
    <row r="96" spans="1:47" x14ac:dyDescent="0.25">
      <c r="A96" s="85"/>
      <c r="B96" s="91" t="s">
        <v>332</v>
      </c>
      <c r="C96" s="87"/>
      <c r="D96" s="90" t="s">
        <v>323</v>
      </c>
      <c r="E96" s="88"/>
      <c r="F96" s="88"/>
      <c r="G96" s="88"/>
      <c r="H96" s="88"/>
      <c r="I96" s="88"/>
      <c r="J96" s="88"/>
      <c r="K96" s="87"/>
      <c r="L96" s="91" t="s">
        <v>477</v>
      </c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7"/>
      <c r="AF96" s="69"/>
      <c r="AG96" s="306"/>
      <c r="AH96" s="307"/>
      <c r="AI96" s="307"/>
      <c r="AJ96" s="307"/>
      <c r="AK96" s="307"/>
      <c r="AL96" s="307"/>
      <c r="AM96" s="307"/>
      <c r="AN96" s="307"/>
      <c r="AO96" s="307"/>
      <c r="AP96" s="307"/>
      <c r="AQ96" s="307"/>
      <c r="AR96" s="307"/>
      <c r="AS96" s="307"/>
      <c r="AT96" s="307"/>
      <c r="AU96" s="308"/>
    </row>
    <row r="97" spans="1:48" ht="19.5" customHeight="1" x14ac:dyDescent="0.25">
      <c r="A97" s="85"/>
      <c r="B97" s="91" t="s">
        <v>333</v>
      </c>
      <c r="C97" s="87"/>
      <c r="D97" s="90" t="s">
        <v>324</v>
      </c>
      <c r="E97" s="88"/>
      <c r="F97" s="88"/>
      <c r="G97" s="88"/>
      <c r="H97" s="88"/>
      <c r="I97" s="88"/>
      <c r="J97" s="88"/>
      <c r="K97" s="87"/>
      <c r="L97" s="91" t="s">
        <v>478</v>
      </c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7"/>
      <c r="AF97" s="69"/>
      <c r="AG97" s="312" t="s">
        <v>479</v>
      </c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5"/>
    </row>
    <row r="98" spans="1:48" x14ac:dyDescent="0.25">
      <c r="A98" s="85"/>
      <c r="B98" s="92" t="s">
        <v>335</v>
      </c>
      <c r="C98" s="92"/>
      <c r="D98" s="88" t="s">
        <v>299</v>
      </c>
      <c r="E98" s="88"/>
      <c r="F98" s="88"/>
      <c r="G98" s="88"/>
      <c r="H98" s="88"/>
      <c r="I98" s="88"/>
      <c r="J98" s="88"/>
      <c r="K98" s="87"/>
      <c r="L98" s="88" t="s">
        <v>480</v>
      </c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7"/>
      <c r="AF98" s="69"/>
      <c r="AG98" s="216"/>
      <c r="AH98" s="202"/>
      <c r="AI98" s="202"/>
      <c r="AJ98" s="202"/>
      <c r="AK98" s="202"/>
      <c r="AL98" s="202"/>
      <c r="AM98" s="202"/>
      <c r="AN98" s="202"/>
      <c r="AO98" s="202"/>
      <c r="AP98" s="202"/>
      <c r="AQ98" s="202"/>
      <c r="AR98" s="202"/>
      <c r="AS98" s="202"/>
      <c r="AT98" s="202"/>
      <c r="AU98" s="217"/>
    </row>
    <row r="99" spans="1:48" ht="19.5" customHeight="1" x14ac:dyDescent="0.25">
      <c r="A99" s="85"/>
      <c r="B99" s="92" t="s">
        <v>336</v>
      </c>
      <c r="C99" s="92"/>
      <c r="D99" s="88" t="s">
        <v>300</v>
      </c>
      <c r="E99" s="88"/>
      <c r="F99" s="88"/>
      <c r="G99" s="88"/>
      <c r="H99" s="88"/>
      <c r="I99" s="88"/>
      <c r="J99" s="88"/>
      <c r="K99" s="87"/>
      <c r="L99" s="88" t="s">
        <v>481</v>
      </c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7"/>
      <c r="AF99" s="69"/>
      <c r="AG99" s="311" t="s">
        <v>482</v>
      </c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5"/>
    </row>
    <row r="100" spans="1:48" ht="12.75" customHeight="1" x14ac:dyDescent="0.25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69"/>
      <c r="AG100" s="309" t="s">
        <v>483</v>
      </c>
      <c r="AH100" s="307"/>
      <c r="AI100" s="307"/>
      <c r="AJ100" s="307"/>
      <c r="AK100" s="307"/>
      <c r="AL100" s="307"/>
      <c r="AM100" s="307"/>
      <c r="AN100" s="307"/>
      <c r="AO100" s="307"/>
      <c r="AP100" s="307"/>
      <c r="AQ100" s="307"/>
      <c r="AR100" s="307"/>
      <c r="AS100" s="307"/>
      <c r="AT100" s="307"/>
      <c r="AU100" s="308"/>
    </row>
    <row r="101" spans="1:48" ht="19.5" customHeight="1" x14ac:dyDescent="0.25">
      <c r="A101" s="84" t="s">
        <v>484</v>
      </c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69"/>
      <c r="AG101" s="313" t="s">
        <v>485</v>
      </c>
      <c r="AH101" s="202"/>
      <c r="AI101" s="202"/>
      <c r="AJ101" s="202"/>
      <c r="AK101" s="202"/>
      <c r="AL101" s="202"/>
      <c r="AM101" s="202"/>
      <c r="AN101" s="202"/>
      <c r="AO101" s="202"/>
      <c r="AP101" s="202"/>
      <c r="AQ101" s="202"/>
      <c r="AR101" s="202"/>
      <c r="AS101" s="202"/>
      <c r="AT101" s="202"/>
      <c r="AU101" s="217"/>
    </row>
    <row r="102" spans="1:48" x14ac:dyDescent="0.25">
      <c r="A102" s="85"/>
      <c r="B102" s="86" t="s">
        <v>418</v>
      </c>
      <c r="C102" s="87"/>
      <c r="D102" s="86" t="s">
        <v>419</v>
      </c>
      <c r="E102" s="88"/>
      <c r="F102" s="88"/>
      <c r="G102" s="88"/>
      <c r="H102" s="88"/>
      <c r="I102" s="88"/>
      <c r="J102" s="88"/>
      <c r="K102" s="87"/>
      <c r="L102" s="86" t="s">
        <v>344</v>
      </c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7"/>
      <c r="AF102" s="69"/>
      <c r="AG102" s="306"/>
      <c r="AH102" s="307"/>
      <c r="AI102" s="307"/>
      <c r="AJ102" s="307"/>
      <c r="AK102" s="307"/>
      <c r="AL102" s="307"/>
      <c r="AM102" s="307"/>
      <c r="AN102" s="307"/>
      <c r="AO102" s="307"/>
      <c r="AP102" s="307"/>
      <c r="AQ102" s="307"/>
      <c r="AR102" s="307"/>
      <c r="AS102" s="307"/>
      <c r="AT102" s="307"/>
      <c r="AU102" s="308"/>
    </row>
    <row r="103" spans="1:48" ht="19.5" customHeight="1" x14ac:dyDescent="0.25">
      <c r="A103" s="85"/>
      <c r="B103" s="89" t="s">
        <v>329</v>
      </c>
      <c r="C103" s="87"/>
      <c r="D103" s="93" t="s">
        <v>325</v>
      </c>
      <c r="E103" s="88"/>
      <c r="F103" s="88"/>
      <c r="G103" s="88"/>
      <c r="H103" s="88"/>
      <c r="I103" s="88"/>
      <c r="J103" s="88"/>
      <c r="K103" s="87"/>
      <c r="L103" s="91" t="s">
        <v>486</v>
      </c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7"/>
      <c r="AF103" s="69"/>
      <c r="AG103" s="305" t="s">
        <v>487</v>
      </c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5"/>
    </row>
    <row r="104" spans="1:48" ht="15" customHeight="1" x14ac:dyDescent="0.25">
      <c r="A104" s="85"/>
      <c r="B104" s="91" t="s">
        <v>330</v>
      </c>
      <c r="C104" s="87"/>
      <c r="D104" s="90" t="s">
        <v>326</v>
      </c>
      <c r="E104" s="88"/>
      <c r="F104" s="88"/>
      <c r="G104" s="88"/>
      <c r="H104" s="88"/>
      <c r="I104" s="88"/>
      <c r="J104" s="88"/>
      <c r="K104" s="87"/>
      <c r="L104" s="91" t="s">
        <v>488</v>
      </c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7"/>
      <c r="AF104" s="69"/>
      <c r="AG104" s="306"/>
      <c r="AH104" s="307"/>
      <c r="AI104" s="307"/>
      <c r="AJ104" s="307"/>
      <c r="AK104" s="307"/>
      <c r="AL104" s="307"/>
      <c r="AM104" s="307"/>
      <c r="AN104" s="307"/>
      <c r="AO104" s="307"/>
      <c r="AP104" s="307"/>
      <c r="AQ104" s="307"/>
      <c r="AR104" s="307"/>
      <c r="AS104" s="307"/>
      <c r="AT104" s="307"/>
      <c r="AU104" s="308"/>
    </row>
    <row r="105" spans="1:48" ht="18.600000000000001" customHeight="1" x14ac:dyDescent="0.25">
      <c r="A105" s="85"/>
      <c r="B105" s="91" t="s">
        <v>331</v>
      </c>
      <c r="C105" s="87"/>
      <c r="D105" s="90" t="s">
        <v>326</v>
      </c>
      <c r="E105" s="88"/>
      <c r="F105" s="88"/>
      <c r="G105" s="88"/>
      <c r="H105" s="88"/>
      <c r="I105" s="88"/>
      <c r="J105" s="88"/>
      <c r="K105" s="87"/>
      <c r="L105" s="91" t="s">
        <v>488</v>
      </c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7"/>
      <c r="AF105" s="69"/>
      <c r="AG105" s="302" t="s">
        <v>489</v>
      </c>
      <c r="AH105" s="303"/>
      <c r="AI105" s="303"/>
      <c r="AJ105" s="303"/>
      <c r="AK105" s="303"/>
      <c r="AL105" s="303"/>
      <c r="AM105" s="303"/>
      <c r="AN105" s="303"/>
      <c r="AO105" s="303"/>
      <c r="AP105" s="303"/>
      <c r="AQ105" s="303"/>
      <c r="AR105" s="303"/>
      <c r="AS105" s="303"/>
      <c r="AT105" s="303"/>
      <c r="AU105" s="304"/>
    </row>
    <row r="106" spans="1:48" ht="18.600000000000001" customHeight="1" x14ac:dyDescent="0.4">
      <c r="A106" s="85"/>
      <c r="B106" s="92" t="s">
        <v>335</v>
      </c>
      <c r="C106" s="92"/>
      <c r="D106" s="88" t="s">
        <v>299</v>
      </c>
      <c r="E106" s="88"/>
      <c r="F106" s="88"/>
      <c r="G106" s="88"/>
      <c r="H106" s="88"/>
      <c r="I106" s="88"/>
      <c r="J106" s="88"/>
      <c r="K106" s="87"/>
      <c r="L106" s="88" t="s">
        <v>480</v>
      </c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7"/>
      <c r="AF106" s="69"/>
      <c r="AG106" s="310" t="s">
        <v>490</v>
      </c>
      <c r="AH106" s="303"/>
      <c r="AI106" s="303"/>
      <c r="AJ106" s="303"/>
      <c r="AK106" s="303"/>
      <c r="AL106" s="303"/>
      <c r="AM106" s="303"/>
      <c r="AN106" s="303"/>
      <c r="AO106" s="303"/>
      <c r="AP106" s="303"/>
      <c r="AQ106" s="303"/>
      <c r="AR106" s="303"/>
      <c r="AS106" s="303"/>
      <c r="AT106" s="303"/>
      <c r="AU106" s="304"/>
    </row>
    <row r="107" spans="1:48" s="94" customFormat="1" ht="18.600000000000001" customHeight="1" x14ac:dyDescent="0.25">
      <c r="A107" s="85"/>
      <c r="B107" s="92" t="s">
        <v>336</v>
      </c>
      <c r="C107" s="92"/>
      <c r="D107" s="88" t="s">
        <v>300</v>
      </c>
      <c r="E107" s="88"/>
      <c r="F107" s="88"/>
      <c r="G107" s="88"/>
      <c r="H107" s="88"/>
      <c r="I107" s="88"/>
      <c r="J107" s="88"/>
      <c r="K107" s="87"/>
      <c r="L107" s="88" t="s">
        <v>481</v>
      </c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7"/>
      <c r="AG107" s="302" t="s">
        <v>491</v>
      </c>
      <c r="AH107" s="303"/>
      <c r="AI107" s="303"/>
      <c r="AJ107" s="303"/>
      <c r="AK107" s="303"/>
      <c r="AL107" s="303"/>
      <c r="AM107" s="303"/>
      <c r="AN107" s="303"/>
      <c r="AO107" s="303"/>
      <c r="AP107" s="303"/>
      <c r="AQ107" s="303"/>
      <c r="AR107" s="303"/>
      <c r="AS107" s="303"/>
      <c r="AT107" s="303"/>
      <c r="AU107" s="304"/>
    </row>
    <row r="108" spans="1:48" s="94" customFormat="1" ht="18.600000000000001" customHeight="1" x14ac:dyDescent="0.25">
      <c r="AG108" s="302" t="s">
        <v>492</v>
      </c>
      <c r="AH108" s="303"/>
      <c r="AI108" s="303"/>
      <c r="AJ108" s="303"/>
      <c r="AK108" s="303"/>
      <c r="AL108" s="303"/>
      <c r="AM108" s="303"/>
      <c r="AN108" s="303"/>
      <c r="AO108" s="303"/>
      <c r="AP108" s="303"/>
      <c r="AQ108" s="303"/>
      <c r="AR108" s="303"/>
      <c r="AS108" s="303"/>
      <c r="AT108" s="303"/>
      <c r="AU108" s="304"/>
    </row>
    <row r="109" spans="1:48" ht="18.600000000000001" customHeight="1" x14ac:dyDescent="0.25">
      <c r="A109" s="77" t="s">
        <v>493</v>
      </c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G109" s="302" t="s">
        <v>494</v>
      </c>
      <c r="AH109" s="303"/>
      <c r="AI109" s="303"/>
      <c r="AJ109" s="303"/>
      <c r="AK109" s="303"/>
      <c r="AL109" s="303"/>
      <c r="AM109" s="303"/>
      <c r="AN109" s="303"/>
      <c r="AO109" s="303"/>
      <c r="AP109" s="303"/>
      <c r="AQ109" s="303"/>
      <c r="AR109" s="303"/>
      <c r="AS109" s="303"/>
      <c r="AT109" s="303"/>
      <c r="AU109" s="304"/>
      <c r="AV109" s="94"/>
    </row>
    <row r="110" spans="1:48" x14ac:dyDescent="0.25">
      <c r="A110" s="78"/>
      <c r="B110" s="79" t="s">
        <v>418</v>
      </c>
      <c r="C110" s="80"/>
      <c r="D110" s="79" t="s">
        <v>419</v>
      </c>
      <c r="E110" s="81"/>
      <c r="F110" s="81"/>
      <c r="G110" s="81"/>
      <c r="H110" s="81"/>
      <c r="I110" s="81"/>
      <c r="J110" s="81"/>
      <c r="K110" s="80"/>
      <c r="L110" s="79" t="s">
        <v>495</v>
      </c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  <c r="AA110" s="81"/>
      <c r="AB110" s="81"/>
      <c r="AC110" s="81"/>
      <c r="AD110" s="81"/>
      <c r="AE110" s="80"/>
      <c r="AU110" s="94"/>
      <c r="AV110" s="94"/>
    </row>
    <row r="111" spans="1:48" x14ac:dyDescent="0.25">
      <c r="A111" s="78"/>
      <c r="B111" s="82" t="s">
        <v>329</v>
      </c>
      <c r="C111" s="80"/>
      <c r="D111" s="83" t="s">
        <v>411</v>
      </c>
      <c r="E111" s="81"/>
      <c r="F111" s="81"/>
      <c r="G111" s="81"/>
      <c r="H111" s="81"/>
      <c r="I111" s="81"/>
      <c r="J111" s="81"/>
      <c r="K111" s="80"/>
      <c r="L111" s="82" t="s">
        <v>496</v>
      </c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81"/>
      <c r="AD111" s="81"/>
      <c r="AE111" s="80"/>
    </row>
  </sheetData>
  <mergeCells count="17">
    <mergeCell ref="AG86:AU87"/>
    <mergeCell ref="AG105:AU105"/>
    <mergeCell ref="AG95:AU96"/>
    <mergeCell ref="AG103:AU104"/>
    <mergeCell ref="AG63:AT64"/>
    <mergeCell ref="AG109:AU109"/>
    <mergeCell ref="AG108:AU108"/>
    <mergeCell ref="AG100:AU100"/>
    <mergeCell ref="AG93:AU94"/>
    <mergeCell ref="AG91:AU92"/>
    <mergeCell ref="AG106:AU106"/>
    <mergeCell ref="AG88:AU90"/>
    <mergeCell ref="AG99:AU99"/>
    <mergeCell ref="AG97:AU98"/>
    <mergeCell ref="AG107:AU107"/>
    <mergeCell ref="AG84:AU85"/>
    <mergeCell ref="AG101:AU102"/>
  </mergeCells>
  <pageMargins left="0.7" right="0.7" top="0.78740157499999996" bottom="0.78740157499999996" header="0.3" footer="0.3"/>
  <pageSetup orientation="portrait" horizontalDpi="1200" verticalDpi="1200"/>
  <headerFooter>
    <oddHeader>&amp;L&amp;"Arial"&amp;1 &amp;KFF8C00Hanon Systems – Confidential#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35</vt:i4>
      </vt:variant>
    </vt:vector>
  </HeadingPairs>
  <TitlesOfParts>
    <vt:vector size="47" baseType="lpstr">
      <vt:lpstr>Formblatt</vt:lpstr>
      <vt:lpstr>Daten</vt:lpstr>
      <vt:lpstr>Pinchar0</vt:lpstr>
      <vt:lpstr>Pinchar1</vt:lpstr>
      <vt:lpstr>Pinchar2</vt:lpstr>
      <vt:lpstr>Pinchar3</vt:lpstr>
      <vt:lpstr>Pinchar4</vt:lpstr>
      <vt:lpstr>Pinchar5</vt:lpstr>
      <vt:lpstr>Pinchar6</vt:lpstr>
      <vt:lpstr>Pinchar7</vt:lpstr>
      <vt:lpstr>Erläuterung</vt:lpstr>
      <vt:lpstr>Explanation</vt:lpstr>
      <vt:lpstr>CLdat</vt:lpstr>
      <vt:lpstr>CmtLower</vt:lpstr>
      <vt:lpstr>CommitPos</vt:lpstr>
      <vt:lpstr>DataChecked</vt:lpstr>
      <vt:lpstr>EndPin</vt:lpstr>
      <vt:lpstr>GER</vt:lpstr>
      <vt:lpstr>JaNein</vt:lpstr>
      <vt:lpstr>Löschen</vt:lpstr>
      <vt:lpstr>nMakro</vt:lpstr>
      <vt:lpstr>Oberflaechen</vt:lpstr>
      <vt:lpstr>Pinchar0</vt:lpstr>
      <vt:lpstr>Pinchar1</vt:lpstr>
      <vt:lpstr>Pinchar2</vt:lpstr>
      <vt:lpstr>Pinchar3</vt:lpstr>
      <vt:lpstr>Pinchar4</vt:lpstr>
      <vt:lpstr>Pinchar5</vt:lpstr>
      <vt:lpstr>Pinchar6</vt:lpstr>
      <vt:lpstr>Pinchar7</vt:lpstr>
      <vt:lpstr>Pins</vt:lpstr>
      <vt:lpstr>PinsLower</vt:lpstr>
      <vt:lpstr>PinsUpper</vt:lpstr>
      <vt:lpstr>Pintypen</vt:lpstr>
      <vt:lpstr>Erläuterung!Print_Area</vt:lpstr>
      <vt:lpstr>Formblatt!Print_Area</vt:lpstr>
      <vt:lpstr>PrntPdf</vt:lpstr>
      <vt:lpstr>Slots</vt:lpstr>
      <vt:lpstr>SlotsLower</vt:lpstr>
      <vt:lpstr>SlotsUpper</vt:lpstr>
      <vt:lpstr>StartPin</vt:lpstr>
      <vt:lpstr>State</vt:lpstr>
      <vt:lpstr>SumPins</vt:lpstr>
      <vt:lpstr>SumSlots</vt:lpstr>
      <vt:lpstr>Teilenummer</vt:lpstr>
      <vt:lpstr>VWS</vt:lpstr>
      <vt:lpstr>VWSdef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Urban, Guenther (EEKK/1)</dc:creator>
  <cp:lastModifiedBy>Hua Lin</cp:lastModifiedBy>
  <cp:lastPrinted>2022-02-02T15:08:03Z</cp:lastPrinted>
  <dcterms:created xsi:type="dcterms:W3CDTF">2018-08-17T10:52:02Z</dcterms:created>
  <dcterms:modified xsi:type="dcterms:W3CDTF">2026-07-23T18:58:07Z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fe96a94a-3b5e-41f7-a7ba-7e6bcc17d37d_Enabled">
    <vt:lpwstr>True</vt:lpwstr>
  </property>
  <property fmtid="{D5CDD505-2E9C-101B-9397-08002B2CF9AE}" pid="4" name="MSIP_Label_fe96a94a-3b5e-41f7-a7ba-7e6bcc17d37d_SiteId">
    <vt:lpwstr>af96f1d8-d512-43d0-b20d-a717d9ff2be7</vt:lpwstr>
  </property>
  <property fmtid="{D5CDD505-2E9C-101B-9397-08002B2CF9AE}" pid="5" name="MSIP_Label_fe96a94a-3b5e-41f7-a7ba-7e6bcc17d37d_Owner">
    <vt:lpwstr>sreinder@hanonsystems.com</vt:lpwstr>
  </property>
  <property fmtid="{D5CDD505-2E9C-101B-9397-08002B2CF9AE}" pid="6" name="MSIP_Label_fe96a94a-3b5e-41f7-a7ba-7e6bcc17d37d_SetDate">
    <vt:lpwstr>2023-12-14T13:21:49.1793592Z</vt:lpwstr>
  </property>
  <property fmtid="{D5CDD505-2E9C-101B-9397-08002B2CF9AE}" pid="7" name="MSIP_Label_fe96a94a-3b5e-41f7-a7ba-7e6bcc17d37d_Name">
    <vt:lpwstr>Confidential</vt:lpwstr>
  </property>
  <property fmtid="{D5CDD505-2E9C-101B-9397-08002B2CF9AE}" pid="8" name="MSIP_Label_fe96a94a-3b5e-41f7-a7ba-7e6bcc17d37d_Application">
    <vt:lpwstr>Microsoft Azure Information Protection</vt:lpwstr>
  </property>
  <property fmtid="{D5CDD505-2E9C-101B-9397-08002B2CF9AE}" pid="9" name="MSIP_Label_fe96a94a-3b5e-41f7-a7ba-7e6bcc17d37d_ActionId">
    <vt:lpwstr>b6dadc55-2e40-4e91-bc9f-63257de5f09d</vt:lpwstr>
  </property>
  <property fmtid="{D5CDD505-2E9C-101B-9397-08002B2CF9AE}" pid="10" name="MSIP_Label_fe96a94a-3b5e-41f7-a7ba-7e6bcc17d37d_Extended_MSFT_Method">
    <vt:lpwstr>Automatic</vt:lpwstr>
  </property>
  <property fmtid="{D5CDD505-2E9C-101B-9397-08002B2CF9AE}" pid="11" name="MSIP_Label_b1c9b508-7c6e-42bd-bedf-808292653d6c_Enabled">
    <vt:lpwstr>True</vt:lpwstr>
  </property>
  <property fmtid="{D5CDD505-2E9C-101B-9397-08002B2CF9AE}" pid="12" name="MSIP_Label_b1c9b508-7c6e-42bd-bedf-808292653d6c_SiteId">
    <vt:lpwstr>2882be50-2012-4d88-ac86-544124e120c8</vt:lpwstr>
  </property>
  <property fmtid="{D5CDD505-2E9C-101B-9397-08002B2CF9AE}" pid="13" name="MSIP_Label_b1c9b508-7c6e-42bd-bedf-808292653d6c_SetDate">
    <vt:lpwstr>2023-08-23T14:32:44Z</vt:lpwstr>
  </property>
  <property fmtid="{D5CDD505-2E9C-101B-9397-08002B2CF9AE}" pid="14" name="MSIP_Label_b1c9b508-7c6e-42bd-bedf-808292653d6c_Name">
    <vt:lpwstr>b1c9b508-7c6e-42bd-bedf-808292653d6c</vt:lpwstr>
  </property>
  <property fmtid="{D5CDD505-2E9C-101B-9397-08002B2CF9AE}" pid="15" name="MSIP_Label_b1c9b508-7c6e-42bd-bedf-808292653d6c_ActionId">
    <vt:lpwstr>79232d2a-f127-43e4-ad86-b67fd04d4b08</vt:lpwstr>
  </property>
  <property fmtid="{D5CDD505-2E9C-101B-9397-08002B2CF9AE}" pid="16" name="Sensitivity">
    <vt:lpwstr>Confidential b1c9b508-7c6e-42bd-bedf-808292653d6c</vt:lpwstr>
  </property>
</Properties>
</file>